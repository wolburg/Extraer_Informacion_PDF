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6b5e85133815d05b/Escritorio/1-Inversiones Nuevo/2-CONTRATO EN PROCESO/1-Contratos de inversión 2025/EJEMPLO CONTRATO AI PM/"/>
    </mc:Choice>
  </mc:AlternateContent>
  <xr:revisionPtr revIDLastSave="2" documentId="8_{15CA4A96-16B8-4F8B-8215-34EAD2A50BE8}" xr6:coauthVersionLast="47" xr6:coauthVersionMax="47" xr10:uidLastSave="{898B8FA7-E2C3-4091-815D-E09006F927E0}"/>
  <bookViews>
    <workbookView xWindow="-108" yWindow="-108" windowWidth="23256" windowHeight="12456" xr2:uid="{CDC7B59C-4AC6-4DF9-BB10-6E81352A436E}"/>
  </bookViews>
  <sheets>
    <sheet name="Hoja1" sheetId="1" r:id="rId1"/>
  </sheets>
  <definedNames>
    <definedName name="_xlnm.Print_Area" localSheetId="0">Hoja1!$A$1:$K$158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9" i="1" l="1"/>
  <c r="H62" i="1"/>
  <c r="F62" i="1"/>
  <c r="D62" i="1"/>
  <c r="K62" i="1" l="1"/>
  <c r="D21" i="1"/>
  <c r="J120" i="1" l="1"/>
  <c r="I22" i="1"/>
  <c r="I62" i="1" l="1"/>
  <c r="J62" i="1"/>
  <c r="I29" i="1"/>
  <c r="E121" i="1"/>
  <c r="J112" i="1"/>
  <c r="E112" i="1"/>
  <c r="I100" i="1"/>
  <c r="H78" i="1"/>
  <c r="D31" i="1"/>
  <c r="K126" i="1" l="1"/>
  <c r="K127" i="1" s="1"/>
</calcChain>
</file>

<file path=xl/sharedStrings.xml><?xml version="1.0" encoding="utf-8"?>
<sst xmlns="http://schemas.openxmlformats.org/spreadsheetml/2006/main" count="197" uniqueCount="145">
  <si>
    <t>I.- Conocimiento del cliente y su Experiencia en productos financieros</t>
  </si>
  <si>
    <t>a)</t>
  </si>
  <si>
    <t>b)</t>
  </si>
  <si>
    <t>c)</t>
  </si>
  <si>
    <t>d)</t>
  </si>
  <si>
    <t>PUNTOS</t>
  </si>
  <si>
    <t xml:space="preserve">PUNTOS        </t>
  </si>
  <si>
    <t>4. Estrategia de inversión generalmente utilizada</t>
  </si>
  <si>
    <t>Especulativa*</t>
  </si>
  <si>
    <t>VALORES</t>
  </si>
  <si>
    <t>1 Instrumentos de Deuda Gubernamental</t>
  </si>
  <si>
    <t>2 Instrumentos de Deuda Corporativa</t>
  </si>
  <si>
    <t>A continuación, encontrarás un cuestionario que te ayudará a determinar tu perfil de inversionista. Cada pregunta tiene asignada una ponderación que le da valor a la opción que elijas.                                                                                                                                                                                                                                                                                                                                                              El puntaje final definirá tu Perfil de Inversionista (P1 Conservación, P2 Moderado, P3 Balanceado, P4 Crecimiento, P5 Oportunidad).                                                                                                                                                                                                                               Para que el siguiente ejercicio te sea útil es importante que las respuestas que proporciones se apeguen a tu manera real de reaccionar ante determinadas situaciones, ya que por naturaleza tendemos a contestar de acuerdo con una situación "ideal", que no siempre concuerda con la realidad de nuestro comportamiento.</t>
  </si>
  <si>
    <t>2.- ¿Cuál es su experiencia y conocimiento en los siguientes productos de inversión en los últimos dos años?</t>
  </si>
  <si>
    <t>Frecuencia</t>
  </si>
  <si>
    <t>Plazo</t>
  </si>
  <si>
    <t>Volumen</t>
  </si>
  <si>
    <t>NO CONOCE NI HA INVERTIDO</t>
  </si>
  <si>
    <t>SÓLO CONOCE</t>
  </si>
  <si>
    <t>CONOCE Y HA INVERTIDO</t>
  </si>
  <si>
    <t>3 Fondos de Inversión</t>
  </si>
  <si>
    <t>4 Valores Estructurados</t>
  </si>
  <si>
    <t>5 Certificados Bursátiles Fiduciarios (Cebures, Cedevis) y Fideicomisos Privados</t>
  </si>
  <si>
    <t>6 Títulos Opcionales (Warrants)</t>
  </si>
  <si>
    <t>7 Acciones</t>
  </si>
  <si>
    <t>8 Valores Extranjeros</t>
  </si>
  <si>
    <t>10 Certificados de Capital de Desarrollo (CKDs)</t>
  </si>
  <si>
    <t>II.- Objetivos de Inversión</t>
  </si>
  <si>
    <t>1.- Propósito de la Inversión</t>
  </si>
  <si>
    <t>Defensivo</t>
  </si>
  <si>
    <t>Liquidez</t>
  </si>
  <si>
    <t>Menos de un Año</t>
  </si>
  <si>
    <t>Puntos</t>
  </si>
  <si>
    <t>Horizonte</t>
  </si>
  <si>
    <t>Propósito</t>
  </si>
  <si>
    <t>Enfocado al ingreso</t>
  </si>
  <si>
    <t>Ingreso y crecimiento</t>
  </si>
  <si>
    <t>Enfocado al crecimiento</t>
  </si>
  <si>
    <t>Alto crecimiento</t>
  </si>
  <si>
    <t>Conservación</t>
  </si>
  <si>
    <t>Equilibrio</t>
  </si>
  <si>
    <t>Incremento</t>
  </si>
  <si>
    <t>Maximización</t>
  </si>
  <si>
    <t>Entre 1 y 2 años</t>
  </si>
  <si>
    <t>Mayor de 2 años y menor a 3 años</t>
  </si>
  <si>
    <t>Entre 3 y 5 años</t>
  </si>
  <si>
    <t>Mayor a 5 años</t>
  </si>
  <si>
    <t>2.- Horizonte y Liquidez</t>
  </si>
  <si>
    <t>Horizonte y liquidez</t>
  </si>
  <si>
    <t>9 Trackers o TRACs (Títulos Referenciado a Activos) o ETFs (Exchange-Traded Funds)</t>
  </si>
  <si>
    <t>Poca o Nula</t>
  </si>
  <si>
    <t>Baja</t>
  </si>
  <si>
    <t>Media</t>
  </si>
  <si>
    <t>Alta</t>
  </si>
  <si>
    <t>Inviertes en instrumentos de deuda a corto o mediano plazo. Te gusta tener disponible tu patrimonio</t>
  </si>
  <si>
    <t>Inviertes en diversos plazos, destinas un porcentaje moderado en el mercado de capitales</t>
  </si>
  <si>
    <t>Tienes una participación importante en el mercado de capitales, aceptas períodos de volatilidad</t>
  </si>
  <si>
    <t>Buscas mejores rendimientos y comprendes que la volatilidad es alta</t>
  </si>
  <si>
    <t>III.- Situación y capacidad financiera</t>
  </si>
  <si>
    <t>3. ¿Qué porcentaje de tu patrimonio inviertes en instrumentos bancarios tradicionales?</t>
  </si>
  <si>
    <t>IV.- Aceptación del perfil</t>
  </si>
  <si>
    <t>Total No. Puntos</t>
  </si>
  <si>
    <t>Perfil</t>
  </si>
  <si>
    <t>Acepto el perfil y el portafolio, como resultado de este cuestionario</t>
  </si>
  <si>
    <t>Datos del cliente</t>
  </si>
  <si>
    <t xml:space="preserve">Numero de Contrato </t>
  </si>
  <si>
    <t>Email</t>
  </si>
  <si>
    <t>Firma del cliente</t>
  </si>
  <si>
    <t>Firma del Asesor</t>
  </si>
  <si>
    <t>TABLA DE PUNTAJE</t>
  </si>
  <si>
    <t>RANGOS POR PUNTOS OBTENIDOS</t>
  </si>
  <si>
    <t>PERFIL DETERMINADO</t>
  </si>
  <si>
    <t>P1 Conservación</t>
  </si>
  <si>
    <t>P2 Moderado</t>
  </si>
  <si>
    <t>P3 Balanceado</t>
  </si>
  <si>
    <t>P4 Crecimiento</t>
  </si>
  <si>
    <t>P5 Agresivo</t>
  </si>
  <si>
    <t>a) Mayor a 5 años</t>
  </si>
  <si>
    <t>b) De 2 años a 5 años</t>
  </si>
  <si>
    <t>c) Menor a 2 años</t>
  </si>
  <si>
    <t>d) Hasta 2 meses</t>
  </si>
  <si>
    <t>De         0 a 15</t>
  </si>
  <si>
    <t xml:space="preserve">Asesor en Inversiones Independiente </t>
  </si>
  <si>
    <t>Gestión de Cartera</t>
  </si>
  <si>
    <r>
      <t xml:space="preserve">1.- Para cada una de las siguientes preguntas, </t>
    </r>
    <r>
      <rPr>
        <b/>
        <u/>
        <sz val="10"/>
        <color rgb="FF44546A"/>
        <rFont val="Calibri"/>
        <family val="2"/>
        <scheme val="minor"/>
      </rPr>
      <t>seleccione la casilla con una "X" lo que mejor describa su información personal actual.</t>
    </r>
  </si>
  <si>
    <r>
      <t>Por cada uno de los siguientes productos,</t>
    </r>
    <r>
      <rPr>
        <b/>
        <u/>
        <sz val="10"/>
        <color rgb="FF44546A"/>
        <rFont val="Calibri"/>
        <family val="2"/>
        <scheme val="minor"/>
      </rPr>
      <t xml:space="preserve"> seleccione la casilla con una "X" lo que mejor describe su nivel de conocimiento y experiencia con los mismos.</t>
    </r>
  </si>
  <si>
    <r>
      <t xml:space="preserve">Si conoce y ha invertido, </t>
    </r>
    <r>
      <rPr>
        <b/>
        <u/>
        <sz val="9"/>
        <color rgb="FF44546A"/>
        <rFont val="Calibri"/>
        <family val="2"/>
        <scheme val="minor"/>
      </rPr>
      <t>indique con la letra correspondiente lo que mejor se adecue a su respuesta:</t>
    </r>
  </si>
  <si>
    <r>
      <rPr>
        <b/>
        <sz val="9"/>
        <color rgb="FF44546A"/>
        <rFont val="Calibri"/>
        <family val="2"/>
        <scheme val="minor"/>
      </rPr>
      <t>(M)</t>
    </r>
    <r>
      <rPr>
        <sz val="9"/>
        <color rgb="FF44546A"/>
        <rFont val="Calibri"/>
        <family val="2"/>
        <scheme val="minor"/>
      </rPr>
      <t xml:space="preserve"> Mensual, </t>
    </r>
    <r>
      <rPr>
        <b/>
        <sz val="9"/>
        <color rgb="FF44546A"/>
        <rFont val="Calibri"/>
        <family val="2"/>
        <scheme val="minor"/>
      </rPr>
      <t>(S)</t>
    </r>
    <r>
      <rPr>
        <sz val="9"/>
        <color rgb="FF44546A"/>
        <rFont val="Calibri"/>
        <family val="2"/>
        <scheme val="minor"/>
      </rPr>
      <t xml:space="preserve"> Semestral, </t>
    </r>
    <r>
      <rPr>
        <b/>
        <sz val="9"/>
        <color rgb="FF44546A"/>
        <rFont val="Calibri"/>
        <family val="2"/>
        <scheme val="minor"/>
      </rPr>
      <t>(A)</t>
    </r>
    <r>
      <rPr>
        <sz val="9"/>
        <color rgb="FF44546A"/>
        <rFont val="Calibri"/>
        <family val="2"/>
        <scheme val="minor"/>
      </rPr>
      <t xml:space="preserve"> Anual</t>
    </r>
  </si>
  <si>
    <r>
      <rPr>
        <b/>
        <sz val="9"/>
        <color rgb="FF44546A"/>
        <rFont val="Calibri"/>
        <family val="2"/>
        <scheme val="minor"/>
      </rPr>
      <t>(C)</t>
    </r>
    <r>
      <rPr>
        <sz val="9"/>
        <color rgb="FF44546A"/>
        <rFont val="Calibri"/>
        <family val="2"/>
        <scheme val="minor"/>
      </rPr>
      <t xml:space="preserve"> menos de 1 año, </t>
    </r>
    <r>
      <rPr>
        <b/>
        <sz val="9"/>
        <color rgb="FF44546A"/>
        <rFont val="Calibri"/>
        <family val="2"/>
        <scheme val="minor"/>
      </rPr>
      <t>(M)</t>
    </r>
    <r>
      <rPr>
        <sz val="9"/>
        <color rgb="FF44546A"/>
        <rFont val="Calibri"/>
        <family val="2"/>
        <scheme val="minor"/>
      </rPr>
      <t xml:space="preserve"> Entre 1 año y 3 años,</t>
    </r>
    <r>
      <rPr>
        <b/>
        <sz val="9"/>
        <color rgb="FF44546A"/>
        <rFont val="Calibri"/>
        <family val="2"/>
        <scheme val="minor"/>
      </rPr>
      <t xml:space="preserve">                                         (L)</t>
    </r>
    <r>
      <rPr>
        <sz val="9"/>
        <color rgb="FF44546A"/>
        <rFont val="Calibri"/>
        <family val="2"/>
        <scheme val="minor"/>
      </rPr>
      <t xml:space="preserve">  mayor a 3 años</t>
    </r>
  </si>
  <si>
    <r>
      <rPr>
        <b/>
        <sz val="9"/>
        <color rgb="FF44546A"/>
        <rFont val="Calibri"/>
        <family val="2"/>
        <scheme val="minor"/>
      </rPr>
      <t>(B)</t>
    </r>
    <r>
      <rPr>
        <sz val="9"/>
        <color rgb="FF44546A"/>
        <rFont val="Calibri"/>
        <family val="2"/>
        <scheme val="minor"/>
      </rPr>
      <t xml:space="preserve"> el 10% de mis inversiones,      </t>
    </r>
    <r>
      <rPr>
        <b/>
        <sz val="9"/>
        <color rgb="FF44546A"/>
        <rFont val="Calibri"/>
        <family val="2"/>
        <scheme val="minor"/>
      </rPr>
      <t>(M)</t>
    </r>
    <r>
      <rPr>
        <sz val="9"/>
        <color rgb="FF44546A"/>
        <rFont val="Calibri"/>
        <family val="2"/>
        <scheme val="minor"/>
      </rPr>
      <t xml:space="preserve"> del 10% al 30% de mis inversiones,                                            </t>
    </r>
    <r>
      <rPr>
        <b/>
        <sz val="9"/>
        <color rgb="FF44546A"/>
        <rFont val="Calibri"/>
        <family val="2"/>
        <scheme val="minor"/>
      </rPr>
      <t>(A)</t>
    </r>
    <r>
      <rPr>
        <sz val="9"/>
        <color rgb="FF44546A"/>
        <rFont val="Calibri"/>
        <family val="2"/>
        <scheme val="minor"/>
      </rPr>
      <t xml:space="preserve"> mayor al 30% de mis inversiones</t>
    </r>
  </si>
  <si>
    <r>
      <t>1.- Para cada una de las siguientes preguntas,</t>
    </r>
    <r>
      <rPr>
        <b/>
        <u/>
        <sz val="10"/>
        <color rgb="FF44546A"/>
        <rFont val="Calibri"/>
        <family val="2"/>
        <scheme val="minor"/>
      </rPr>
      <t xml:space="preserve"> seleccione la casilla con una "X" lo que mejor describa su situación financiera actual.</t>
    </r>
  </si>
  <si>
    <t>1. Antigüedad con base en la fecha de constitución</t>
  </si>
  <si>
    <t>1 a 15 años</t>
  </si>
  <si>
    <t>15 a 25 años</t>
  </si>
  <si>
    <t>25 a 35 años</t>
  </si>
  <si>
    <t>Más de 35 años</t>
  </si>
  <si>
    <t>Perfil para Persona Moral</t>
  </si>
  <si>
    <t>2. Giro de la Persona Moral</t>
  </si>
  <si>
    <t xml:space="preserve"> Comercio servicios y construcción</t>
  </si>
  <si>
    <t>Transporte, comunicaciones y electrónica</t>
  </si>
  <si>
    <t>e)</t>
  </si>
  <si>
    <t>Gobierno y Agropecuario</t>
  </si>
  <si>
    <t>3. Tipo de persona Moral</t>
  </si>
  <si>
    <t>Publica</t>
  </si>
  <si>
    <t>Privada</t>
  </si>
  <si>
    <t>Gubernamental</t>
  </si>
  <si>
    <t>Paraestatal</t>
  </si>
  <si>
    <t>Preservación de capital**</t>
  </si>
  <si>
    <t>1. Porcentaje del total del Patrimonio de la Persona Moral que se destinará a invertir en productos de Inversión</t>
  </si>
  <si>
    <t>2. Porcentaje del Ingreso anual de la Persona Moral que se destinará a invertir en productos de Inversión</t>
  </si>
  <si>
    <t>a) 75% - 100%</t>
  </si>
  <si>
    <t>b) 50% - 75%</t>
  </si>
  <si>
    <t>c) 25% - 50%</t>
  </si>
  <si>
    <t>d) 0% - 25%</t>
  </si>
  <si>
    <t>3. Porcentaje de las inversiones que mantendrá en esta Institución</t>
  </si>
  <si>
    <t>a) Utilidades del negocio, Venta de activos, Venta de bienes, Excedentes de Tesorería o Fideicomisos</t>
  </si>
  <si>
    <t>b) Traspaso / Cancelación de cuentas de otro Banco o Pago de Dividendos</t>
  </si>
  <si>
    <t>c) Préstamos, Patrimonio o Ingresos</t>
  </si>
  <si>
    <t>Nombre de la Empresa</t>
  </si>
  <si>
    <t>Fecha de Constitución</t>
  </si>
  <si>
    <t xml:space="preserve">Actividad Actual </t>
  </si>
  <si>
    <t>Fecha de apertura</t>
  </si>
  <si>
    <t>Juan Javier Gilberto Téllez López</t>
  </si>
  <si>
    <t>Finanzas, seguros y bienes raíces</t>
  </si>
  <si>
    <t>Minería Facturera</t>
  </si>
  <si>
    <r>
      <rPr>
        <u/>
        <sz val="10"/>
        <color rgb="FF44546A"/>
        <rFont val="Calibri"/>
        <family val="2"/>
        <scheme val="minor"/>
      </rPr>
      <t>Seleccione la casilla con una "X"</t>
    </r>
    <r>
      <rPr>
        <sz val="10"/>
        <color rgb="FF44546A"/>
        <rFont val="Calibri"/>
        <family val="2"/>
        <scheme val="minor"/>
      </rPr>
      <t xml:space="preserve"> lo que mejor describa su propósito y horizonte de inversión.</t>
    </r>
  </si>
  <si>
    <r>
      <t xml:space="preserve">¿Cuándo crees que necesitarás tu dinero? Regularmente, con un horizonte de inversión de mayor plazo, eres menos vulnerable ante las alzas y bajas del mercado, </t>
    </r>
    <r>
      <rPr>
        <u/>
        <sz val="10"/>
        <color rgb="FF44546A"/>
        <rFont val="Calibri"/>
        <family val="2"/>
        <scheme val="minor"/>
      </rPr>
      <t>selecciona con una "X" la opción.</t>
    </r>
  </si>
  <si>
    <t>Acepto el perfil, mas no el (los) portafolio(s) presupuestos(s) con base a este cuestionario. Soy consciente de que mi portafolio de inversión actual puede estar en discrepancia con mi perfil de riesgo</t>
  </si>
  <si>
    <t>En este acto el cliente manifiesta que Juan Gilberto Téllez López Asesor Independiente puso a su disposición el aviso de privacidad cuyo contenido acepta expresamente. Una vez concluido el proceso de perfilamiento, el (los) titular (res) manifiesto (amos) la conformidad con el perfil de inversión, así como que he (nos) recibido una explicación de su significado, así mismo declaro (amos) que tuve (imos) a mi (nuestra) disposición, leí (mos), entendí (mos) y acepté (amos) las Características para determinar el Perfil del Cliente para la Prestación de Servicios de Gestión de Cartera documento que contiene las definiciones de los perfiles, la Tolerancia al Riesgos, los Objetivos de inversión y la explicación de las Categorías de Productos que se distribuyen.</t>
  </si>
  <si>
    <t>*Especulativa: Estrategias de inversión de alto riesgo basada en las oportunidades derivadas de las fluctuaciones de los mercados                                                                                **Patrimonial: Portafolios diversificados basados en una estrategia de inversión de corto, mediano y largo plazo.</t>
  </si>
  <si>
    <t>De       16 a 36</t>
  </si>
  <si>
    <t>De        37 a 57</t>
  </si>
  <si>
    <t>De       58 a 77</t>
  </si>
  <si>
    <t>De       78 a 98</t>
  </si>
  <si>
    <t>x</t>
  </si>
  <si>
    <t>X</t>
  </si>
  <si>
    <t>A</t>
  </si>
  <si>
    <t>C</t>
  </si>
  <si>
    <t>M</t>
  </si>
  <si>
    <t>a</t>
  </si>
  <si>
    <t>c</t>
  </si>
  <si>
    <t>m</t>
  </si>
  <si>
    <t xml:space="preserve">CV MANAGEMENT GROUP SA DE CV </t>
  </si>
  <si>
    <t xml:space="preserve">Otros Servicios Relacionnados con los Servicios Inmobiliarios </t>
  </si>
  <si>
    <t>jmvilla@ikav.com.mx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</si>
</sst>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5"/>
      <color rgb="FF44546A"/>
      <name val="Arial"/>
      <family val="2"/>
    </font>
    <font>
      <sz val="9"/>
      <color rgb="FF44546A"/>
      <name val="Calibri"/>
      <family val="2"/>
      <scheme val="minor"/>
    </font>
    <font>
      <sz val="14"/>
      <color rgb="FF44546A"/>
      <name val="Times New Roman"/>
      <family val="1"/>
    </font>
    <font>
      <b/>
      <sz val="9"/>
      <color rgb="FF44546A"/>
      <name val="Calibri"/>
      <family val="2"/>
      <scheme val="minor"/>
    </font>
    <font>
      <b/>
      <sz val="8"/>
      <color rgb="FF44546A"/>
      <name val="Calibri"/>
      <family val="2"/>
      <scheme val="minor"/>
    </font>
    <font>
      <b/>
      <sz val="10"/>
      <color rgb="FF44546A"/>
      <name val="Calibri"/>
      <family val="2"/>
      <scheme val="minor"/>
    </font>
    <font>
      <sz val="10"/>
      <color rgb="FF44546A"/>
      <name val="Calibri"/>
      <family val="2"/>
      <scheme val="minor"/>
    </font>
    <font>
      <sz val="10"/>
      <color theme="1"/>
      <name val="Calibri"/>
      <family val="2"/>
      <scheme val="minor"/>
    </font>
    <font>
      <sz val="8"/>
      <name val="Calibri"/>
      <family val="2"/>
      <scheme val="minor"/>
    </font>
    <font>
      <b/>
      <u/>
      <sz val="9"/>
      <color rgb="FF44546A"/>
      <name val="Calibri"/>
      <family val="2"/>
      <scheme val="minor"/>
    </font>
    <font>
      <u/>
      <sz val="10"/>
      <color rgb="FF44546A"/>
      <name val="Calibri"/>
      <family val="2"/>
      <scheme val="minor"/>
    </font>
    <font>
      <b/>
      <sz val="20"/>
      <color rgb="FFE7E6E6"/>
      <name val="Calibri"/>
      <family val="2"/>
      <scheme val="minor"/>
    </font>
    <font>
      <b/>
      <sz val="12"/>
      <color rgb="FFE7E6E6"/>
      <name val="Calibri"/>
      <family val="2"/>
      <scheme val="minor"/>
    </font>
    <font>
      <sz val="16"/>
      <color rgb="FF44546A"/>
      <name val="Times New Roman"/>
      <family val="1"/>
    </font>
    <font>
      <b/>
      <u/>
      <sz val="10"/>
      <color rgb="FF44546A"/>
      <name val="Calibri"/>
      <family val="2"/>
      <scheme val="minor"/>
    </font>
    <font>
      <b/>
      <sz val="11"/>
      <color rgb="FF44546A"/>
      <name val="Calibri"/>
      <family val="2"/>
      <scheme val="minor"/>
    </font>
    <font>
      <b/>
      <sz val="12"/>
      <color rgb="FF44546A"/>
      <name val="Calibri"/>
      <family val="2"/>
      <scheme val="minor"/>
    </font>
    <font>
      <sz val="12"/>
      <color theme="1"/>
      <name val="Calibri"/>
      <family val="2"/>
      <scheme val="minor"/>
    </font>
  </fonts>
  <fills count="5">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79">
    <border>
      <left/>
      <right/>
      <top/>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top style="thin">
        <color theme="4"/>
      </top>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top style="thin">
        <color theme="4"/>
      </top>
      <bottom/>
      <diagonal/>
    </border>
    <border>
      <left/>
      <right/>
      <top/>
      <bottom style="thin">
        <color theme="4"/>
      </bottom>
      <diagonal/>
    </border>
    <border>
      <left style="thin">
        <color theme="4"/>
      </left>
      <right style="thin">
        <color theme="4"/>
      </right>
      <top style="thin">
        <color theme="4"/>
      </top>
      <bottom/>
      <diagonal/>
    </border>
    <border>
      <left style="thin">
        <color theme="2"/>
      </left>
      <right style="thin">
        <color theme="2"/>
      </right>
      <top style="thin">
        <color theme="2"/>
      </top>
      <bottom style="thin">
        <color theme="2"/>
      </bottom>
      <diagonal/>
    </border>
    <border>
      <left style="thin">
        <color theme="2"/>
      </left>
      <right/>
      <top style="thin">
        <color theme="2"/>
      </top>
      <bottom style="thin">
        <color theme="2"/>
      </bottom>
      <diagonal/>
    </border>
    <border>
      <left style="thin">
        <color theme="2"/>
      </left>
      <right/>
      <top/>
      <bottom/>
      <diagonal/>
    </border>
    <border>
      <left style="thin">
        <color theme="2"/>
      </left>
      <right/>
      <top style="thin">
        <color theme="2"/>
      </top>
      <bottom/>
      <diagonal/>
    </border>
    <border>
      <left/>
      <right style="thin">
        <color theme="2"/>
      </right>
      <top style="thin">
        <color theme="2"/>
      </top>
      <bottom/>
      <diagonal/>
    </border>
    <border>
      <left style="thin">
        <color theme="2"/>
      </left>
      <right/>
      <top/>
      <bottom style="thin">
        <color theme="2"/>
      </bottom>
      <diagonal/>
    </border>
    <border>
      <left/>
      <right style="thin">
        <color theme="2"/>
      </right>
      <top/>
      <bottom style="thin">
        <color theme="2"/>
      </bottom>
      <diagonal/>
    </border>
    <border>
      <left/>
      <right style="thin">
        <color theme="2"/>
      </right>
      <top/>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ck">
        <color theme="2"/>
      </left>
      <right style="thin">
        <color theme="2"/>
      </right>
      <top style="thin">
        <color theme="2"/>
      </top>
      <bottom style="thin">
        <color theme="2"/>
      </bottom>
      <diagonal/>
    </border>
    <border>
      <left style="thick">
        <color theme="2"/>
      </left>
      <right style="thin">
        <color theme="2"/>
      </right>
      <top style="thin">
        <color theme="2"/>
      </top>
      <bottom/>
      <diagonal/>
    </border>
    <border>
      <left style="thick">
        <color theme="2"/>
      </left>
      <right style="thin">
        <color theme="2"/>
      </right>
      <top/>
      <bottom style="thin">
        <color theme="2"/>
      </bottom>
      <diagonal/>
    </border>
    <border>
      <left style="thin">
        <color theme="2"/>
      </left>
      <right style="thin">
        <color theme="2"/>
      </right>
      <top style="thin">
        <color theme="2"/>
      </top>
      <bottom style="medium">
        <color theme="2"/>
      </bottom>
      <diagonal/>
    </border>
    <border>
      <left style="medium">
        <color theme="2"/>
      </left>
      <right/>
      <top style="medium">
        <color theme="2"/>
      </top>
      <bottom/>
      <diagonal/>
    </border>
    <border>
      <left/>
      <right style="thin">
        <color theme="2"/>
      </right>
      <top style="medium">
        <color theme="2"/>
      </top>
      <bottom/>
      <diagonal/>
    </border>
    <border>
      <left style="thin">
        <color theme="2"/>
      </left>
      <right/>
      <top style="medium">
        <color theme="2"/>
      </top>
      <bottom/>
      <diagonal/>
    </border>
    <border>
      <left style="thin">
        <color theme="2"/>
      </left>
      <right style="thin">
        <color theme="2"/>
      </right>
      <top style="medium">
        <color theme="2"/>
      </top>
      <bottom style="thin">
        <color theme="2"/>
      </bottom>
      <diagonal/>
    </border>
    <border>
      <left style="thin">
        <color theme="2"/>
      </left>
      <right style="medium">
        <color theme="2"/>
      </right>
      <top style="medium">
        <color theme="2"/>
      </top>
      <bottom style="thin">
        <color theme="2"/>
      </bottom>
      <diagonal/>
    </border>
    <border>
      <left style="medium">
        <color theme="2"/>
      </left>
      <right/>
      <top/>
      <bottom/>
      <diagonal/>
    </border>
    <border>
      <left style="thin">
        <color theme="2"/>
      </left>
      <right style="medium">
        <color theme="2"/>
      </right>
      <top style="thin">
        <color theme="2"/>
      </top>
      <bottom style="thin">
        <color theme="2"/>
      </bottom>
      <diagonal/>
    </border>
    <border>
      <left style="medium">
        <color theme="2"/>
      </left>
      <right/>
      <top/>
      <bottom style="thin">
        <color theme="2"/>
      </bottom>
      <diagonal/>
    </border>
    <border>
      <left style="thin">
        <color theme="2"/>
      </left>
      <right style="medium">
        <color theme="2"/>
      </right>
      <top style="thin">
        <color theme="2"/>
      </top>
      <bottom/>
      <diagonal/>
    </border>
    <border>
      <left style="medium">
        <color theme="2"/>
      </left>
      <right style="thin">
        <color theme="2"/>
      </right>
      <top style="thin">
        <color theme="2"/>
      </top>
      <bottom style="thin">
        <color theme="2"/>
      </bottom>
      <diagonal/>
    </border>
    <border>
      <left style="thin">
        <color theme="2"/>
      </left>
      <right style="medium">
        <color theme="2"/>
      </right>
      <top/>
      <bottom style="thin">
        <color theme="2"/>
      </bottom>
      <diagonal/>
    </border>
    <border>
      <left style="medium">
        <color theme="2"/>
      </left>
      <right style="thin">
        <color theme="2"/>
      </right>
      <top style="thin">
        <color theme="2"/>
      </top>
      <bottom style="medium">
        <color theme="2"/>
      </bottom>
      <diagonal/>
    </border>
    <border>
      <left style="thin">
        <color theme="2"/>
      </left>
      <right style="medium">
        <color theme="2"/>
      </right>
      <top style="thin">
        <color theme="2"/>
      </top>
      <bottom style="medium">
        <color theme="2"/>
      </bottom>
      <diagonal/>
    </border>
    <border>
      <left style="thin">
        <color theme="2"/>
      </left>
      <right style="thin">
        <color theme="2"/>
      </right>
      <top/>
      <bottom style="medium">
        <color theme="2"/>
      </bottom>
      <diagonal/>
    </border>
    <border>
      <left/>
      <right/>
      <top style="medium">
        <color theme="2"/>
      </top>
      <bottom/>
      <diagonal/>
    </border>
    <border>
      <left style="thin">
        <color theme="2"/>
      </left>
      <right/>
      <top/>
      <bottom style="medium">
        <color theme="2"/>
      </bottom>
      <diagonal/>
    </border>
    <border>
      <left style="medium">
        <color theme="2"/>
      </left>
      <right/>
      <top style="medium">
        <color theme="2"/>
      </top>
      <bottom style="medium">
        <color theme="2"/>
      </bottom>
      <diagonal/>
    </border>
    <border>
      <left style="thin">
        <color theme="2"/>
      </left>
      <right style="thin">
        <color theme="2"/>
      </right>
      <top style="medium">
        <color theme="2"/>
      </top>
      <bottom style="medium">
        <color theme="2"/>
      </bottom>
      <diagonal/>
    </border>
    <border>
      <left/>
      <right/>
      <top style="medium">
        <color theme="2"/>
      </top>
      <bottom style="medium">
        <color theme="2"/>
      </bottom>
      <diagonal/>
    </border>
    <border>
      <left style="medium">
        <color theme="2"/>
      </left>
      <right style="medium">
        <color theme="2"/>
      </right>
      <top style="medium">
        <color theme="2"/>
      </top>
      <bottom style="medium">
        <color theme="2"/>
      </bottom>
      <diagonal/>
    </border>
    <border>
      <left/>
      <right style="medium">
        <color theme="2"/>
      </right>
      <top style="medium">
        <color theme="2"/>
      </top>
      <bottom style="medium">
        <color theme="2"/>
      </bottom>
      <diagonal/>
    </border>
    <border>
      <left style="medium">
        <color theme="2"/>
      </left>
      <right style="thin">
        <color theme="2"/>
      </right>
      <top style="medium">
        <color theme="2"/>
      </top>
      <bottom style="thin">
        <color theme="2"/>
      </bottom>
      <diagonal/>
    </border>
    <border>
      <left style="thin">
        <color theme="2"/>
      </left>
      <right style="medium">
        <color theme="2"/>
      </right>
      <top style="medium">
        <color theme="2"/>
      </top>
      <bottom style="medium">
        <color theme="2"/>
      </bottom>
      <diagonal/>
    </border>
    <border>
      <left style="medium">
        <color theme="2"/>
      </left>
      <right style="thin">
        <color theme="2"/>
      </right>
      <top style="medium">
        <color theme="2"/>
      </top>
      <bottom style="medium">
        <color theme="2"/>
      </bottom>
      <diagonal/>
    </border>
    <border>
      <left style="thin">
        <color theme="2"/>
      </left>
      <right/>
      <top style="medium">
        <color theme="2"/>
      </top>
      <bottom style="thin">
        <color theme="2"/>
      </bottom>
      <diagonal/>
    </border>
    <border>
      <left style="thin">
        <color theme="2"/>
      </left>
      <right/>
      <top style="thin">
        <color theme="2"/>
      </top>
      <bottom style="medium">
        <color theme="2"/>
      </bottom>
      <diagonal/>
    </border>
    <border>
      <left style="medium">
        <color theme="2"/>
      </left>
      <right/>
      <top style="thin">
        <color theme="2"/>
      </top>
      <bottom style="medium">
        <color theme="2"/>
      </bottom>
      <diagonal/>
    </border>
    <border>
      <left/>
      <right/>
      <top style="thin">
        <color theme="2"/>
      </top>
      <bottom style="medium">
        <color theme="2"/>
      </bottom>
      <diagonal/>
    </border>
    <border>
      <left/>
      <right style="thin">
        <color theme="2"/>
      </right>
      <top style="thin">
        <color theme="2"/>
      </top>
      <bottom style="medium">
        <color theme="2"/>
      </bottom>
      <diagonal/>
    </border>
    <border>
      <left style="medium">
        <color theme="2"/>
      </left>
      <right/>
      <top style="thin">
        <color theme="2"/>
      </top>
      <bottom style="thin">
        <color theme="2"/>
      </bottom>
      <diagonal/>
    </border>
    <border>
      <left/>
      <right/>
      <top style="thin">
        <color theme="2"/>
      </top>
      <bottom style="thin">
        <color theme="2"/>
      </bottom>
      <diagonal/>
    </border>
    <border>
      <left/>
      <right style="thin">
        <color theme="2"/>
      </right>
      <top style="thin">
        <color theme="2"/>
      </top>
      <bottom style="thin">
        <color theme="2"/>
      </bottom>
      <diagonal/>
    </border>
    <border>
      <left style="medium">
        <color theme="2"/>
      </left>
      <right/>
      <top style="medium">
        <color theme="2"/>
      </top>
      <bottom style="thin">
        <color theme="2"/>
      </bottom>
      <diagonal/>
    </border>
    <border>
      <left/>
      <right/>
      <top style="medium">
        <color theme="2"/>
      </top>
      <bottom style="thin">
        <color theme="2"/>
      </bottom>
      <diagonal/>
    </border>
    <border>
      <left/>
      <right style="thin">
        <color theme="2"/>
      </right>
      <top style="medium">
        <color theme="2"/>
      </top>
      <bottom style="thin">
        <color theme="2"/>
      </bottom>
      <diagonal/>
    </border>
    <border>
      <left style="medium">
        <color theme="2"/>
      </left>
      <right style="medium">
        <color theme="2"/>
      </right>
      <top style="medium">
        <color theme="2"/>
      </top>
      <bottom style="thin">
        <color theme="2"/>
      </bottom>
      <diagonal/>
    </border>
    <border>
      <left style="medium">
        <color theme="2"/>
      </left>
      <right style="medium">
        <color theme="2"/>
      </right>
      <top style="thin">
        <color theme="2"/>
      </top>
      <bottom style="thin">
        <color theme="2"/>
      </bottom>
      <diagonal/>
    </border>
    <border>
      <left style="medium">
        <color theme="2"/>
      </left>
      <right style="medium">
        <color theme="2"/>
      </right>
      <top style="thin">
        <color theme="2"/>
      </top>
      <bottom/>
      <diagonal/>
    </border>
    <border>
      <left style="thin">
        <color theme="2"/>
      </left>
      <right style="thick">
        <color theme="2"/>
      </right>
      <top style="medium">
        <color theme="2"/>
      </top>
      <bottom/>
      <diagonal/>
    </border>
    <border>
      <left style="thin">
        <color theme="2"/>
      </left>
      <right style="thick">
        <color theme="2"/>
      </right>
      <top/>
      <bottom/>
      <diagonal/>
    </border>
    <border>
      <left style="thin">
        <color theme="2"/>
      </left>
      <right style="thick">
        <color theme="2"/>
      </right>
      <top/>
      <bottom style="thin">
        <color theme="2"/>
      </bottom>
      <diagonal/>
    </border>
    <border>
      <left style="medium">
        <color theme="2"/>
      </left>
      <right style="medium">
        <color theme="2"/>
      </right>
      <top style="medium">
        <color theme="2"/>
      </top>
      <bottom/>
      <diagonal/>
    </border>
    <border>
      <left/>
      <right/>
      <top style="thin">
        <color theme="4"/>
      </top>
      <bottom style="thin">
        <color theme="4"/>
      </bottom>
      <diagonal/>
    </border>
    <border>
      <left/>
      <right/>
      <top/>
      <bottom style="thin">
        <color theme="2"/>
      </bottom>
      <diagonal/>
    </border>
    <border>
      <left/>
      <right/>
      <top style="thin">
        <color theme="2"/>
      </top>
      <bottom/>
      <diagonal/>
    </border>
    <border>
      <left style="thin">
        <color theme="2"/>
      </left>
      <right style="thin">
        <color theme="4"/>
      </right>
      <top style="thin">
        <color theme="4"/>
      </top>
      <bottom style="thin">
        <color theme="4"/>
      </bottom>
      <diagonal/>
    </border>
    <border>
      <left style="thin">
        <color theme="4"/>
      </left>
      <right style="thin">
        <color theme="2"/>
      </right>
      <top/>
      <bottom/>
      <diagonal/>
    </border>
    <border>
      <left/>
      <right/>
      <top style="thin">
        <color theme="4"/>
      </top>
      <bottom style="thin">
        <color theme="2"/>
      </bottom>
      <diagonal/>
    </border>
    <border>
      <left style="thin">
        <color theme="2"/>
      </left>
      <right style="thin">
        <color theme="4"/>
      </right>
      <top style="thin">
        <color theme="4"/>
      </top>
      <bottom/>
      <diagonal/>
    </border>
    <border>
      <left style="thin">
        <color theme="2"/>
      </left>
      <right/>
      <top style="thin">
        <color theme="4"/>
      </top>
      <bottom style="thin">
        <color theme="4"/>
      </bottom>
      <diagonal/>
    </border>
    <border>
      <left/>
      <right style="medium">
        <color theme="2"/>
      </right>
      <top style="thin">
        <color theme="2"/>
      </top>
      <bottom style="medium">
        <color theme="2"/>
      </bottom>
      <diagonal/>
    </border>
    <border>
      <left/>
      <right style="medium">
        <color theme="2"/>
      </right>
      <top style="thin">
        <color theme="2"/>
      </top>
      <bottom style="thin">
        <color theme="2"/>
      </bottom>
      <diagonal/>
    </border>
    <border>
      <left/>
      <right style="medium">
        <color theme="2"/>
      </right>
      <top style="medium">
        <color theme="2"/>
      </top>
      <bottom style="thin">
        <color theme="2"/>
      </bottom>
      <diagonal/>
    </border>
    <border>
      <left/>
      <right style="thin">
        <color theme="2"/>
      </right>
      <top style="medium">
        <color theme="2"/>
      </top>
      <bottom style="medium">
        <color theme="2"/>
      </bottom>
      <diagonal/>
    </border>
    <border>
      <left style="thin">
        <color theme="2"/>
      </left>
      <right/>
      <top style="medium">
        <color theme="2"/>
      </top>
      <bottom style="medium">
        <color theme="2"/>
      </bottom>
      <diagonal/>
    </border>
    <border>
      <left style="thick">
        <color theme="2"/>
      </left>
      <right/>
      <top style="medium">
        <color theme="2"/>
      </top>
      <bottom style="thin">
        <color theme="2"/>
      </bottom>
      <diagonal/>
    </border>
  </borders>
  <cellStyleXfs count="1">
    <xf numFmtId="0" fontId="0" fillId="0" borderId="0"/>
  </cellStyleXfs>
  <cellXfs count="236">
    <xf numFmtId="0" fontId="0" fillId="0" borderId="0" xfId="0"/>
    <xf numFmtId="0" fontId="7" fillId="0" borderId="2" xfId="0" applyFont="1" applyBorder="1" applyAlignment="1" applyProtection="1">
      <alignment horizontal="center"/>
      <protection locked="0"/>
    </xf>
    <xf numFmtId="0" fontId="7" fillId="0" borderId="1" xfId="0" applyFont="1" applyBorder="1" applyAlignment="1" applyProtection="1">
      <alignment horizontal="center"/>
      <protection locked="0"/>
    </xf>
    <xf numFmtId="0" fontId="7" fillId="0" borderId="27" xfId="0" applyFont="1" applyBorder="1" applyAlignment="1" applyProtection="1">
      <alignment horizontal="center" vertical="center"/>
      <protection locked="0"/>
    </xf>
    <xf numFmtId="0" fontId="7" fillId="0" borderId="29" xfId="0" applyFont="1" applyBorder="1" applyAlignment="1" applyProtection="1">
      <alignment horizontal="center" vertical="center"/>
      <protection locked="0"/>
    </xf>
    <xf numFmtId="0" fontId="7" fillId="0" borderId="29" xfId="0" applyFont="1" applyBorder="1" applyAlignment="1" applyProtection="1">
      <alignment horizontal="center" vertical="center" wrapText="1"/>
      <protection locked="0"/>
    </xf>
    <xf numFmtId="0" fontId="7" fillId="0" borderId="35" xfId="0" applyFont="1" applyBorder="1" applyAlignment="1" applyProtection="1">
      <alignment horizontal="center" vertical="center"/>
      <protection locked="0"/>
    </xf>
    <xf numFmtId="0" fontId="7" fillId="0" borderId="58" xfId="0" applyFont="1" applyBorder="1" applyAlignment="1" applyProtection="1">
      <alignment horizontal="center" vertical="center"/>
      <protection locked="0"/>
    </xf>
    <xf numFmtId="0" fontId="7" fillId="0" borderId="59" xfId="0" applyFont="1" applyBorder="1" applyAlignment="1" applyProtection="1">
      <alignment horizontal="center" vertical="center"/>
      <protection locked="0"/>
    </xf>
    <xf numFmtId="0" fontId="7" fillId="0" borderId="60" xfId="0" applyFont="1" applyBorder="1" applyAlignment="1" applyProtection="1">
      <alignment horizontal="center" vertical="center"/>
      <protection locked="0"/>
    </xf>
    <xf numFmtId="0" fontId="7" fillId="0" borderId="8" xfId="0" applyFont="1" applyBorder="1" applyAlignment="1" applyProtection="1">
      <alignment horizontal="center"/>
      <protection locked="0"/>
    </xf>
    <xf numFmtId="0" fontId="0" fillId="0" borderId="1" xfId="0" applyBorder="1" applyProtection="1">
      <protection locked="0"/>
    </xf>
    <xf numFmtId="0" fontId="0" fillId="0" borderId="0" xfId="0" applyProtection="1">
      <protection hidden="1"/>
    </xf>
    <xf numFmtId="0" fontId="1" fillId="0" borderId="7" xfId="0" applyFont="1" applyBorder="1" applyAlignment="1" applyProtection="1">
      <alignment vertical="center"/>
      <protection hidden="1"/>
    </xf>
    <xf numFmtId="0" fontId="0" fillId="0" borderId="7" xfId="0" applyBorder="1" applyProtection="1">
      <protection hidden="1"/>
    </xf>
    <xf numFmtId="0" fontId="2" fillId="0" borderId="0" xfId="0" applyFont="1" applyAlignment="1" applyProtection="1">
      <alignment vertical="top" wrapText="1"/>
      <protection hidden="1"/>
    </xf>
    <xf numFmtId="0" fontId="14" fillId="2" borderId="0" xfId="0" applyFont="1" applyFill="1" applyAlignment="1" applyProtection="1">
      <alignment vertical="center"/>
      <protection hidden="1"/>
    </xf>
    <xf numFmtId="0" fontId="0" fillId="2" borderId="0" xfId="0" applyFill="1" applyProtection="1">
      <protection hidden="1"/>
    </xf>
    <xf numFmtId="0" fontId="6" fillId="0" borderId="0" xfId="0" applyFont="1" applyProtection="1">
      <protection hidden="1"/>
    </xf>
    <xf numFmtId="0" fontId="7" fillId="0" borderId="68" xfId="0" applyFont="1" applyBorder="1" applyProtection="1">
      <protection hidden="1"/>
    </xf>
    <xf numFmtId="0" fontId="7" fillId="0" borderId="2" xfId="0" applyFont="1" applyBorder="1" applyProtection="1">
      <protection hidden="1"/>
    </xf>
    <xf numFmtId="0" fontId="7" fillId="0" borderId="69" xfId="0" applyFont="1" applyBorder="1" applyProtection="1">
      <protection hidden="1"/>
    </xf>
    <xf numFmtId="0" fontId="7" fillId="0" borderId="1" xfId="0" applyFont="1" applyBorder="1" applyProtection="1">
      <protection hidden="1"/>
    </xf>
    <xf numFmtId="0" fontId="7" fillId="0" borderId="16" xfId="0" applyFont="1" applyBorder="1" applyProtection="1">
      <protection hidden="1"/>
    </xf>
    <xf numFmtId="0" fontId="7" fillId="0" borderId="5" xfId="0" applyFont="1" applyBorder="1" applyProtection="1">
      <protection hidden="1"/>
    </xf>
    <xf numFmtId="0" fontId="7" fillId="0" borderId="0" xfId="0" applyFont="1" applyProtection="1">
      <protection hidden="1"/>
    </xf>
    <xf numFmtId="0" fontId="8" fillId="0" borderId="11" xfId="0" applyFont="1" applyBorder="1" applyProtection="1">
      <protection hidden="1"/>
    </xf>
    <xf numFmtId="0" fontId="8" fillId="0" borderId="71" xfId="0" applyFont="1" applyBorder="1" applyProtection="1">
      <protection hidden="1"/>
    </xf>
    <xf numFmtId="0" fontId="6" fillId="0" borderId="1" xfId="0" applyFont="1" applyBorder="1" applyAlignment="1" applyProtection="1">
      <alignment horizontal="right"/>
      <protection hidden="1"/>
    </xf>
    <xf numFmtId="0" fontId="6" fillId="0" borderId="6" xfId="0" applyFont="1" applyBorder="1" applyAlignment="1" applyProtection="1">
      <alignment horizontal="center"/>
      <protection hidden="1"/>
    </xf>
    <xf numFmtId="0" fontId="6" fillId="0" borderId="3" xfId="0" applyFont="1" applyBorder="1" applyAlignment="1" applyProtection="1">
      <alignment horizontal="right"/>
      <protection hidden="1"/>
    </xf>
    <xf numFmtId="0" fontId="0" fillId="0" borderId="14" xfId="0" applyBorder="1" applyProtection="1">
      <protection hidden="1"/>
    </xf>
    <xf numFmtId="0" fontId="0" fillId="0" borderId="66" xfId="0" applyBorder="1" applyProtection="1">
      <protection hidden="1"/>
    </xf>
    <xf numFmtId="0" fontId="0" fillId="0" borderId="70" xfId="0" applyBorder="1" applyProtection="1">
      <protection hidden="1"/>
    </xf>
    <xf numFmtId="0" fontId="0" fillId="0" borderId="15" xfId="0" applyBorder="1" applyProtection="1">
      <protection hidden="1"/>
    </xf>
    <xf numFmtId="0" fontId="8" fillId="0" borderId="14" xfId="0" applyFont="1" applyBorder="1" applyProtection="1">
      <protection hidden="1"/>
    </xf>
    <xf numFmtId="0" fontId="8" fillId="0" borderId="66" xfId="0" applyFont="1" applyBorder="1" applyProtection="1">
      <protection hidden="1"/>
    </xf>
    <xf numFmtId="0" fontId="8" fillId="0" borderId="15" xfId="0" applyFont="1" applyBorder="1" applyProtection="1">
      <protection hidden="1"/>
    </xf>
    <xf numFmtId="0" fontId="0" fillId="0" borderId="11" xfId="0" applyBorder="1" applyProtection="1">
      <protection hidden="1"/>
    </xf>
    <xf numFmtId="0" fontId="6" fillId="0" borderId="4" xfId="0" applyFont="1" applyBorder="1" applyAlignment="1" applyProtection="1">
      <alignment horizontal="right"/>
      <protection hidden="1"/>
    </xf>
    <xf numFmtId="1" fontId="6" fillId="0" borderId="8" xfId="0" applyNumberFormat="1" applyFont="1" applyBorder="1" applyAlignment="1" applyProtection="1">
      <alignment horizontal="center"/>
      <protection hidden="1"/>
    </xf>
    <xf numFmtId="0" fontId="6" fillId="0" borderId="3" xfId="0" applyFont="1" applyBorder="1" applyAlignment="1" applyProtection="1">
      <alignment horizontal="center"/>
      <protection hidden="1"/>
    </xf>
    <xf numFmtId="0" fontId="0" fillId="0" borderId="0" xfId="0" applyAlignment="1" applyProtection="1">
      <alignment horizontal="center"/>
      <protection hidden="1"/>
    </xf>
    <xf numFmtId="0" fontId="8" fillId="0" borderId="0" xfId="0" applyFont="1" applyProtection="1">
      <protection hidden="1"/>
    </xf>
    <xf numFmtId="0" fontId="2" fillId="0" borderId="0" xfId="0" applyFont="1" applyAlignment="1" applyProtection="1">
      <alignment horizontal="left" vertical="center"/>
      <protection hidden="1"/>
    </xf>
    <xf numFmtId="0" fontId="5" fillId="2" borderId="19" xfId="0" applyFont="1" applyFill="1" applyBorder="1" applyAlignment="1" applyProtection="1">
      <alignment horizontal="center"/>
      <protection hidden="1"/>
    </xf>
    <xf numFmtId="0" fontId="5" fillId="2" borderId="9" xfId="0" applyFont="1" applyFill="1" applyBorder="1" applyAlignment="1" applyProtection="1">
      <alignment horizontal="center"/>
      <protection hidden="1"/>
    </xf>
    <xf numFmtId="0" fontId="5" fillId="2" borderId="29" xfId="0" applyFont="1" applyFill="1" applyBorder="1" applyAlignment="1" applyProtection="1">
      <alignment horizontal="center"/>
      <protection hidden="1"/>
    </xf>
    <xf numFmtId="1" fontId="6" fillId="0" borderId="38" xfId="0" applyNumberFormat="1" applyFont="1" applyBorder="1" applyAlignment="1" applyProtection="1">
      <alignment horizontal="center"/>
      <protection hidden="1"/>
    </xf>
    <xf numFmtId="1" fontId="6" fillId="0" borderId="46" xfId="0" applyNumberFormat="1" applyFont="1" applyBorder="1" applyAlignment="1" applyProtection="1">
      <alignment horizontal="center"/>
      <protection hidden="1"/>
    </xf>
    <xf numFmtId="1" fontId="6" fillId="0" borderId="40" xfId="0" applyNumberFormat="1" applyFont="1" applyBorder="1" applyAlignment="1" applyProtection="1">
      <alignment horizontal="center"/>
      <protection hidden="1"/>
    </xf>
    <xf numFmtId="1" fontId="6" fillId="0" borderId="45" xfId="0" applyNumberFormat="1" applyFont="1" applyBorder="1" applyAlignment="1" applyProtection="1">
      <alignment horizontal="center"/>
      <protection hidden="1"/>
    </xf>
    <xf numFmtId="0" fontId="6" fillId="2" borderId="45" xfId="0" applyFont="1" applyFill="1" applyBorder="1" applyAlignment="1" applyProtection="1">
      <alignment horizontal="center"/>
      <protection hidden="1"/>
    </xf>
    <xf numFmtId="1" fontId="6" fillId="0" borderId="35" xfId="0" applyNumberFormat="1" applyFont="1" applyBorder="1" applyAlignment="1" applyProtection="1">
      <alignment horizontal="center" vertical="center"/>
      <protection hidden="1"/>
    </xf>
    <xf numFmtId="0" fontId="6" fillId="0" borderId="42" xfId="0" applyFont="1" applyBorder="1" applyAlignment="1" applyProtection="1">
      <alignment vertical="center"/>
      <protection hidden="1"/>
    </xf>
    <xf numFmtId="0" fontId="6" fillId="2" borderId="64" xfId="0" applyFont="1" applyFill="1" applyBorder="1" applyAlignment="1" applyProtection="1">
      <alignment horizontal="center" vertical="center"/>
      <protection hidden="1"/>
    </xf>
    <xf numFmtId="0" fontId="6" fillId="0" borderId="39" xfId="0" applyFont="1" applyBorder="1" applyAlignment="1" applyProtection="1">
      <alignment vertical="center"/>
      <protection hidden="1"/>
    </xf>
    <xf numFmtId="0" fontId="2" fillId="0" borderId="16" xfId="0" applyFont="1" applyBorder="1" applyAlignment="1" applyProtection="1">
      <alignment horizontal="center"/>
      <protection hidden="1"/>
    </xf>
    <xf numFmtId="0" fontId="6" fillId="0" borderId="1" xfId="0" applyFont="1" applyBorder="1" applyAlignment="1" applyProtection="1">
      <alignment horizontal="center"/>
      <protection hidden="1"/>
    </xf>
    <xf numFmtId="0" fontId="6" fillId="0" borderId="2" xfId="0" applyFont="1" applyBorder="1" applyAlignment="1" applyProtection="1">
      <alignment horizontal="center"/>
      <protection hidden="1"/>
    </xf>
    <xf numFmtId="0" fontId="7" fillId="0" borderId="16" xfId="0" applyFont="1" applyBorder="1" applyAlignment="1" applyProtection="1">
      <alignment horizontal="center"/>
      <protection hidden="1"/>
    </xf>
    <xf numFmtId="0" fontId="3" fillId="0" borderId="0" xfId="0" applyFont="1" applyAlignment="1" applyProtection="1">
      <alignment horizontal="left" vertical="center"/>
      <protection hidden="1"/>
    </xf>
    <xf numFmtId="0" fontId="16" fillId="0" borderId="0" xfId="0" applyFont="1" applyAlignment="1" applyProtection="1">
      <alignment horizontal="right"/>
      <protection hidden="1"/>
    </xf>
    <xf numFmtId="1" fontId="16" fillId="3" borderId="9" xfId="0" applyNumberFormat="1" applyFont="1" applyFill="1" applyBorder="1" applyAlignment="1" applyProtection="1">
      <alignment horizontal="center"/>
      <protection hidden="1"/>
    </xf>
    <xf numFmtId="0" fontId="16" fillId="3" borderId="9" xfId="0" applyFont="1" applyFill="1" applyBorder="1" applyAlignment="1" applyProtection="1">
      <alignment horizontal="center" vertical="top"/>
      <protection hidden="1"/>
    </xf>
    <xf numFmtId="0" fontId="2" fillId="0" borderId="0" xfId="0" applyFont="1" applyAlignment="1" applyProtection="1">
      <alignment vertical="top"/>
      <protection hidden="1"/>
    </xf>
    <xf numFmtId="0" fontId="7" fillId="0" borderId="0" xfId="0" applyFont="1" applyAlignment="1" applyProtection="1">
      <alignment vertical="top"/>
      <protection hidden="1"/>
    </xf>
    <xf numFmtId="0" fontId="2" fillId="0" borderId="0" xfId="0" applyFont="1" applyAlignment="1" applyProtection="1">
      <alignment horizontal="center" vertical="top" wrapText="1"/>
      <protection hidden="1"/>
    </xf>
    <xf numFmtId="0" fontId="17" fillId="0" borderId="10" xfId="0" applyFont="1" applyBorder="1" applyAlignment="1" applyProtection="1">
      <alignment vertical="top" wrapText="1"/>
      <protection hidden="1"/>
    </xf>
    <xf numFmtId="0" fontId="18" fillId="0" borderId="0" xfId="0" applyFont="1" applyProtection="1">
      <protection hidden="1"/>
    </xf>
    <xf numFmtId="0" fontId="7" fillId="0" borderId="0" xfId="0" applyFont="1" applyAlignment="1" applyProtection="1">
      <alignment horizontal="left" vertical="top" wrapText="1"/>
      <protection hidden="1"/>
    </xf>
    <xf numFmtId="0" fontId="2" fillId="0" borderId="0" xfId="0" applyFont="1" applyAlignment="1" applyProtection="1">
      <alignment horizontal="left" vertical="top" wrapText="1"/>
      <protection hidden="1"/>
    </xf>
    <xf numFmtId="0" fontId="14" fillId="2" borderId="0" xfId="0" applyFont="1" applyFill="1" applyAlignment="1" applyProtection="1">
      <alignment horizontal="left" vertical="center"/>
      <protection hidden="1"/>
    </xf>
    <xf numFmtId="0" fontId="3" fillId="2" borderId="0" xfId="0" applyFont="1" applyFill="1" applyAlignment="1" applyProtection="1">
      <alignment horizontal="left" vertical="center"/>
      <protection hidden="1"/>
    </xf>
    <xf numFmtId="18" fontId="7" fillId="0" borderId="5" xfId="0" applyNumberFormat="1" applyFont="1" applyBorder="1" applyProtection="1">
      <protection hidden="1"/>
    </xf>
    <xf numFmtId="0" fontId="7" fillId="0" borderId="71" xfId="0" applyFont="1" applyBorder="1" applyProtection="1">
      <protection hidden="1"/>
    </xf>
    <xf numFmtId="0" fontId="7" fillId="0" borderId="72" xfId="0" applyFont="1" applyBorder="1" applyProtection="1">
      <protection hidden="1"/>
    </xf>
    <xf numFmtId="0" fontId="7" fillId="0" borderId="65" xfId="0" applyFont="1" applyBorder="1" applyProtection="1">
      <protection hidden="1"/>
    </xf>
    <xf numFmtId="0" fontId="6" fillId="0" borderId="0" xfId="0" applyFont="1" applyAlignment="1" applyProtection="1">
      <alignment horizontal="right"/>
      <protection hidden="1"/>
    </xf>
    <xf numFmtId="0" fontId="6" fillId="0" borderId="42" xfId="0" applyFont="1" applyBorder="1" applyAlignment="1" applyProtection="1">
      <alignment horizontal="center" vertical="center"/>
      <protection hidden="1"/>
    </xf>
    <xf numFmtId="1" fontId="2" fillId="0" borderId="0" xfId="0" applyNumberFormat="1" applyFont="1" applyAlignment="1" applyProtection="1">
      <alignment vertical="top"/>
      <protection hidden="1"/>
    </xf>
    <xf numFmtId="0" fontId="12" fillId="0" borderId="0" xfId="0" applyFont="1" applyAlignment="1" applyProtection="1">
      <alignment horizontal="center" vertical="center"/>
      <protection hidden="1"/>
    </xf>
    <xf numFmtId="0" fontId="13" fillId="0" borderId="0" xfId="0" applyFont="1" applyAlignment="1" applyProtection="1">
      <alignment horizontal="center" vertical="center"/>
      <protection hidden="1"/>
    </xf>
    <xf numFmtId="0" fontId="6" fillId="0" borderId="0" xfId="0" applyFont="1" applyAlignment="1" applyProtection="1">
      <alignment horizontal="left" vertical="center"/>
      <protection hidden="1"/>
    </xf>
    <xf numFmtId="0" fontId="6" fillId="0" borderId="34" xfId="0" applyFont="1" applyBorder="1" applyAlignment="1" applyProtection="1">
      <alignment horizontal="right" wrapText="1"/>
      <protection hidden="1"/>
    </xf>
    <xf numFmtId="0" fontId="6" fillId="0" borderId="22" xfId="0" applyFont="1" applyBorder="1" applyAlignment="1" applyProtection="1">
      <alignment horizontal="right" wrapText="1"/>
      <protection hidden="1"/>
    </xf>
    <xf numFmtId="1" fontId="6" fillId="0" borderId="36" xfId="0" applyNumberFormat="1" applyFont="1" applyBorder="1" applyAlignment="1" applyProtection="1">
      <alignment horizontal="center"/>
      <protection hidden="1"/>
    </xf>
    <xf numFmtId="0" fontId="7" fillId="0" borderId="29" xfId="0" applyFont="1" applyBorder="1" applyAlignment="1" applyProtection="1">
      <alignment horizontal="center" wrapText="1"/>
      <protection locked="0"/>
    </xf>
    <xf numFmtId="0" fontId="7" fillId="0" borderId="9" xfId="0" applyFont="1" applyBorder="1" applyAlignment="1" applyProtection="1">
      <alignment horizontal="center" wrapText="1"/>
      <protection locked="0"/>
    </xf>
    <xf numFmtId="0" fontId="7" fillId="0" borderId="12" xfId="0" applyFont="1" applyBorder="1" applyAlignment="1" applyProtection="1">
      <alignment horizontal="center" wrapText="1"/>
      <protection locked="0"/>
    </xf>
    <xf numFmtId="0" fontId="7" fillId="0" borderId="13" xfId="0" applyFont="1" applyBorder="1" applyAlignment="1" applyProtection="1">
      <alignment horizontal="center" wrapText="1"/>
      <protection locked="0"/>
    </xf>
    <xf numFmtId="0" fontId="7" fillId="0" borderId="14"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0" fontId="7" fillId="0" borderId="10" xfId="0" applyFont="1" applyBorder="1" applyAlignment="1" applyProtection="1">
      <alignment horizontal="center" wrapText="1"/>
      <protection locked="0"/>
    </xf>
    <xf numFmtId="0" fontId="7" fillId="0" borderId="19" xfId="0" applyFont="1" applyBorder="1" applyAlignment="1" applyProtection="1">
      <alignment horizontal="center" wrapText="1"/>
      <protection locked="0"/>
    </xf>
    <xf numFmtId="0" fontId="6" fillId="0" borderId="32" xfId="0" applyFont="1" applyBorder="1" applyAlignment="1" applyProtection="1">
      <alignment horizontal="left" wrapText="1"/>
      <protection hidden="1"/>
    </xf>
    <xf numFmtId="0" fontId="6" fillId="0" borderId="9" xfId="0" applyFont="1" applyBorder="1" applyAlignment="1" applyProtection="1">
      <alignment horizontal="left" wrapText="1"/>
      <protection hidden="1"/>
    </xf>
    <xf numFmtId="0" fontId="2" fillId="2" borderId="31" xfId="0" applyFont="1" applyFill="1" applyBorder="1" applyAlignment="1" applyProtection="1">
      <alignment horizontal="left" wrapText="1"/>
      <protection hidden="1"/>
    </xf>
    <xf numFmtId="0" fontId="2" fillId="2" borderId="33" xfId="0" applyFont="1" applyFill="1" applyBorder="1" applyAlignment="1" applyProtection="1">
      <alignment horizontal="left" wrapText="1"/>
      <protection hidden="1"/>
    </xf>
    <xf numFmtId="0" fontId="7" fillId="0" borderId="55" xfId="0" applyFont="1" applyBorder="1" applyAlignment="1" applyProtection="1">
      <alignment horizontal="center" vertical="center"/>
      <protection hidden="1"/>
    </xf>
    <xf numFmtId="0" fontId="7" fillId="0" borderId="57" xfId="0" applyFont="1" applyBorder="1" applyAlignment="1" applyProtection="1">
      <alignment horizontal="center" vertical="center"/>
      <protection hidden="1"/>
    </xf>
    <xf numFmtId="0" fontId="7" fillId="0" borderId="47" xfId="0" applyFont="1" applyBorder="1" applyAlignment="1" applyProtection="1">
      <alignment horizontal="center"/>
      <protection hidden="1"/>
    </xf>
    <xf numFmtId="0" fontId="7" fillId="0" borderId="57" xfId="0" applyFont="1" applyBorder="1" applyAlignment="1" applyProtection="1">
      <alignment horizontal="center"/>
      <protection hidden="1"/>
    </xf>
    <xf numFmtId="0" fontId="7" fillId="0" borderId="47" xfId="0" applyFont="1" applyBorder="1" applyAlignment="1" applyProtection="1">
      <alignment horizontal="center" vertical="center"/>
      <protection hidden="1"/>
    </xf>
    <xf numFmtId="0" fontId="6" fillId="2" borderId="77" xfId="0" applyFont="1" applyFill="1" applyBorder="1" applyAlignment="1" applyProtection="1">
      <alignment horizontal="center"/>
      <protection hidden="1"/>
    </xf>
    <xf numFmtId="0" fontId="6" fillId="2" borderId="76" xfId="0" applyFont="1" applyFill="1" applyBorder="1" applyAlignment="1" applyProtection="1">
      <alignment horizontal="center"/>
      <protection hidden="1"/>
    </xf>
    <xf numFmtId="0" fontId="6" fillId="2" borderId="46" xfId="0" applyFont="1" applyFill="1" applyBorder="1" applyAlignment="1" applyProtection="1">
      <alignment horizontal="center"/>
      <protection hidden="1"/>
    </xf>
    <xf numFmtId="0" fontId="6" fillId="2" borderId="40" xfId="0" applyFont="1" applyFill="1" applyBorder="1" applyAlignment="1" applyProtection="1">
      <alignment horizontal="center"/>
      <protection hidden="1"/>
    </xf>
    <xf numFmtId="0" fontId="6" fillId="0" borderId="34" xfId="0" applyFont="1" applyBorder="1" applyAlignment="1" applyProtection="1">
      <alignment horizontal="left" wrapText="1"/>
      <protection hidden="1"/>
    </xf>
    <xf numFmtId="0" fontId="6" fillId="0" borderId="22" xfId="0" applyFont="1" applyBorder="1" applyAlignment="1" applyProtection="1">
      <alignment horizontal="left" wrapText="1"/>
      <protection hidden="1"/>
    </xf>
    <xf numFmtId="0" fontId="7" fillId="0" borderId="49" xfId="0" applyFont="1" applyBorder="1" applyAlignment="1" applyProtection="1">
      <alignment horizontal="center" vertical="center"/>
      <protection hidden="1"/>
    </xf>
    <xf numFmtId="0" fontId="7" fillId="0" borderId="51" xfId="0" applyFont="1" applyBorder="1" applyAlignment="1" applyProtection="1">
      <alignment horizontal="center" vertical="center"/>
      <protection hidden="1"/>
    </xf>
    <xf numFmtId="0" fontId="7" fillId="0" borderId="52" xfId="0" applyFont="1" applyBorder="1" applyAlignment="1" applyProtection="1">
      <alignment horizontal="center" vertical="center"/>
      <protection hidden="1"/>
    </xf>
    <xf numFmtId="0" fontId="7" fillId="0" borderId="54" xfId="0" applyFont="1" applyBorder="1" applyAlignment="1" applyProtection="1">
      <alignment horizontal="center" vertical="center"/>
      <protection hidden="1"/>
    </xf>
    <xf numFmtId="0" fontId="6" fillId="0" borderId="12" xfId="0" applyFont="1" applyBorder="1" applyAlignment="1" applyProtection="1">
      <alignment horizontal="center" wrapText="1"/>
      <protection hidden="1"/>
    </xf>
    <xf numFmtId="0" fontId="6" fillId="0" borderId="67" xfId="0" applyFont="1" applyBorder="1" applyAlignment="1" applyProtection="1">
      <alignment horizontal="center" wrapText="1"/>
      <protection hidden="1"/>
    </xf>
    <xf numFmtId="0" fontId="6" fillId="0" borderId="13" xfId="0" applyFont="1" applyBorder="1" applyAlignment="1" applyProtection="1">
      <alignment horizontal="center" wrapText="1"/>
      <protection hidden="1"/>
    </xf>
    <xf numFmtId="0" fontId="6" fillId="0" borderId="11" xfId="0" applyFont="1" applyBorder="1" applyAlignment="1" applyProtection="1">
      <alignment horizontal="center" wrapText="1"/>
      <protection hidden="1"/>
    </xf>
    <xf numFmtId="0" fontId="6" fillId="0" borderId="0" xfId="0" applyFont="1" applyAlignment="1" applyProtection="1">
      <alignment horizontal="center" wrapText="1"/>
      <protection hidden="1"/>
    </xf>
    <xf numFmtId="0" fontId="6" fillId="0" borderId="16" xfId="0" applyFont="1" applyBorder="1" applyAlignment="1" applyProtection="1">
      <alignment horizontal="center" wrapText="1"/>
      <protection hidden="1"/>
    </xf>
    <xf numFmtId="0" fontId="7" fillId="0" borderId="0" xfId="0" applyFont="1" applyAlignment="1" applyProtection="1">
      <alignment horizontal="left" vertical="top" wrapText="1"/>
      <protection hidden="1"/>
    </xf>
    <xf numFmtId="0" fontId="2" fillId="0" borderId="12" xfId="0" applyFont="1" applyBorder="1" applyAlignment="1" applyProtection="1">
      <alignment horizontal="left" vertical="top" wrapText="1"/>
      <protection hidden="1"/>
    </xf>
    <xf numFmtId="0" fontId="2" fillId="0" borderId="67" xfId="0" applyFont="1" applyBorder="1" applyAlignment="1" applyProtection="1">
      <alignment horizontal="left" vertical="top" wrapText="1"/>
      <protection hidden="1"/>
    </xf>
    <xf numFmtId="0" fontId="2" fillId="0" borderId="13" xfId="0" applyFont="1" applyBorder="1" applyAlignment="1" applyProtection="1">
      <alignment horizontal="left" vertical="top" wrapText="1"/>
      <protection hidden="1"/>
    </xf>
    <xf numFmtId="0" fontId="2" fillId="0" borderId="11" xfId="0" applyFont="1" applyBorder="1" applyAlignment="1" applyProtection="1">
      <alignment horizontal="left" vertical="top" wrapText="1"/>
      <protection hidden="1"/>
    </xf>
    <xf numFmtId="0" fontId="2" fillId="0" borderId="0" xfId="0" applyFont="1" applyAlignment="1" applyProtection="1">
      <alignment horizontal="left" vertical="top" wrapText="1"/>
      <protection hidden="1"/>
    </xf>
    <xf numFmtId="0" fontId="2" fillId="0" borderId="16" xfId="0" applyFont="1" applyBorder="1" applyAlignment="1" applyProtection="1">
      <alignment horizontal="left" vertical="top" wrapText="1"/>
      <protection hidden="1"/>
    </xf>
    <xf numFmtId="0" fontId="2" fillId="0" borderId="14" xfId="0" applyFont="1" applyBorder="1" applyAlignment="1" applyProtection="1">
      <alignment horizontal="left" vertical="top" wrapText="1"/>
      <protection hidden="1"/>
    </xf>
    <xf numFmtId="0" fontId="2" fillId="0" borderId="66" xfId="0" applyFont="1" applyBorder="1" applyAlignment="1" applyProtection="1">
      <alignment horizontal="left" vertical="top" wrapText="1"/>
      <protection hidden="1"/>
    </xf>
    <xf numFmtId="0" fontId="2" fillId="0" borderId="15" xfId="0" applyFont="1" applyBorder="1" applyAlignment="1" applyProtection="1">
      <alignment horizontal="left" vertical="top" wrapText="1"/>
      <protection hidden="1"/>
    </xf>
    <xf numFmtId="0" fontId="6" fillId="2" borderId="61" xfId="0" applyFont="1" applyFill="1" applyBorder="1" applyAlignment="1" applyProtection="1">
      <alignment horizontal="center" vertical="center"/>
      <protection hidden="1"/>
    </xf>
    <xf numFmtId="0" fontId="6" fillId="2" borderId="62" xfId="0" applyFont="1" applyFill="1" applyBorder="1" applyAlignment="1" applyProtection="1">
      <alignment horizontal="center" vertical="center"/>
      <protection hidden="1"/>
    </xf>
    <xf numFmtId="0" fontId="6" fillId="2" borderId="63" xfId="0" applyFont="1" applyFill="1" applyBorder="1" applyAlignment="1" applyProtection="1">
      <alignment horizontal="center" vertical="center"/>
      <protection hidden="1"/>
    </xf>
    <xf numFmtId="0" fontId="6" fillId="2" borderId="25" xfId="0" applyFont="1" applyFill="1" applyBorder="1" applyAlignment="1" applyProtection="1">
      <alignment horizontal="center" vertical="center"/>
      <protection hidden="1"/>
    </xf>
    <xf numFmtId="0" fontId="6" fillId="2" borderId="24" xfId="0" applyFont="1" applyFill="1" applyBorder="1" applyAlignment="1" applyProtection="1">
      <alignment horizontal="center" vertical="center"/>
      <protection hidden="1"/>
    </xf>
    <xf numFmtId="0" fontId="6" fillId="2" borderId="11" xfId="0" applyFont="1" applyFill="1" applyBorder="1" applyAlignment="1" applyProtection="1">
      <alignment horizontal="center" vertical="center"/>
      <protection hidden="1"/>
    </xf>
    <xf numFmtId="0" fontId="6" fillId="2" borderId="16" xfId="0" applyFont="1" applyFill="1" applyBorder="1" applyAlignment="1" applyProtection="1">
      <alignment horizontal="center" vertical="center"/>
      <protection hidden="1"/>
    </xf>
    <xf numFmtId="0" fontId="6" fillId="2" borderId="14" xfId="0" applyFont="1" applyFill="1" applyBorder="1" applyAlignment="1" applyProtection="1">
      <alignment horizontal="center" vertical="center"/>
      <protection hidden="1"/>
    </xf>
    <xf numFmtId="0" fontId="6" fillId="2" borderId="15" xfId="0" applyFont="1" applyFill="1" applyBorder="1" applyAlignment="1" applyProtection="1">
      <alignment horizontal="center" vertical="center"/>
      <protection hidden="1"/>
    </xf>
    <xf numFmtId="0" fontId="6" fillId="2" borderId="25" xfId="0" applyFont="1" applyFill="1" applyBorder="1" applyAlignment="1" applyProtection="1">
      <alignment horizontal="center" vertical="center" wrapText="1"/>
      <protection hidden="1"/>
    </xf>
    <xf numFmtId="0" fontId="6" fillId="2" borderId="24" xfId="0" applyFont="1" applyFill="1" applyBorder="1" applyAlignment="1" applyProtection="1">
      <alignment horizontal="center" vertical="center" wrapText="1"/>
      <protection hidden="1"/>
    </xf>
    <xf numFmtId="0" fontId="6" fillId="2" borderId="11" xfId="0" applyFont="1" applyFill="1" applyBorder="1" applyAlignment="1" applyProtection="1">
      <alignment horizontal="center" vertical="center" wrapText="1"/>
      <protection hidden="1"/>
    </xf>
    <xf numFmtId="0" fontId="6" fillId="2" borderId="16" xfId="0" applyFont="1" applyFill="1" applyBorder="1" applyAlignment="1" applyProtection="1">
      <alignment horizontal="center" vertical="center" wrapText="1"/>
      <protection hidden="1"/>
    </xf>
    <xf numFmtId="0" fontId="6" fillId="2" borderId="14" xfId="0" applyFont="1" applyFill="1" applyBorder="1" applyAlignment="1" applyProtection="1">
      <alignment horizontal="center" vertical="center" wrapText="1"/>
      <protection hidden="1"/>
    </xf>
    <xf numFmtId="0" fontId="6" fillId="2" borderId="15" xfId="0" applyFont="1" applyFill="1" applyBorder="1" applyAlignment="1" applyProtection="1">
      <alignment horizontal="center" vertical="center" wrapText="1"/>
      <protection hidden="1"/>
    </xf>
    <xf numFmtId="0" fontId="6" fillId="2" borderId="23" xfId="0" applyFont="1" applyFill="1" applyBorder="1" applyAlignment="1" applyProtection="1">
      <alignment horizontal="center" vertical="center"/>
      <protection hidden="1"/>
    </xf>
    <xf numFmtId="0" fontId="6" fillId="2" borderId="28" xfId="0" applyFont="1" applyFill="1" applyBorder="1" applyAlignment="1" applyProtection="1">
      <alignment horizontal="center" vertical="center"/>
      <protection hidden="1"/>
    </xf>
    <xf numFmtId="0" fontId="6" fillId="2" borderId="30" xfId="0" applyFont="1" applyFill="1" applyBorder="1" applyAlignment="1" applyProtection="1">
      <alignment horizontal="center" vertical="center"/>
      <protection hidden="1"/>
    </xf>
    <xf numFmtId="0" fontId="2" fillId="2" borderId="17" xfId="0" applyFont="1" applyFill="1" applyBorder="1" applyAlignment="1" applyProtection="1">
      <alignment horizontal="left" wrapText="1"/>
      <protection hidden="1"/>
    </xf>
    <xf numFmtId="0" fontId="2" fillId="2" borderId="18" xfId="0" applyFont="1" applyFill="1" applyBorder="1" applyAlignment="1" applyProtection="1">
      <alignment horizontal="left" wrapText="1"/>
      <protection hidden="1"/>
    </xf>
    <xf numFmtId="0" fontId="2" fillId="2" borderId="20" xfId="0" applyFont="1" applyFill="1" applyBorder="1" applyAlignment="1" applyProtection="1">
      <alignment horizontal="left" vertical="top" wrapText="1"/>
      <protection hidden="1"/>
    </xf>
    <xf numFmtId="0" fontId="2" fillId="2" borderId="21" xfId="0" applyFont="1" applyFill="1" applyBorder="1" applyAlignment="1" applyProtection="1">
      <alignment horizontal="left" vertical="top" wrapText="1"/>
      <protection hidden="1"/>
    </xf>
    <xf numFmtId="0" fontId="4" fillId="2" borderId="78" xfId="0" applyFont="1" applyFill="1" applyBorder="1" applyAlignment="1" applyProtection="1">
      <alignment horizontal="left" wrapText="1"/>
      <protection hidden="1"/>
    </xf>
    <xf numFmtId="0" fontId="4" fillId="2" borderId="56" xfId="0" applyFont="1" applyFill="1" applyBorder="1" applyAlignment="1" applyProtection="1">
      <alignment horizontal="left" wrapText="1"/>
      <protection hidden="1"/>
    </xf>
    <xf numFmtId="0" fontId="4" fillId="2" borderId="75" xfId="0" applyFont="1" applyFill="1" applyBorder="1" applyAlignment="1" applyProtection="1">
      <alignment horizontal="left" wrapText="1"/>
      <protection hidden="1"/>
    </xf>
    <xf numFmtId="0" fontId="7" fillId="0" borderId="10" xfId="0" applyFont="1" applyBorder="1" applyAlignment="1" applyProtection="1">
      <alignment horizontal="center" vertical="center"/>
      <protection hidden="1"/>
    </xf>
    <xf numFmtId="0" fontId="7" fillId="0" borderId="10" xfId="0" applyFont="1" applyBorder="1" applyAlignment="1" applyProtection="1">
      <alignment horizontal="center" vertical="center" wrapText="1"/>
      <protection hidden="1"/>
    </xf>
    <xf numFmtId="0" fontId="7" fillId="0" borderId="54" xfId="0" applyFont="1" applyBorder="1" applyAlignment="1" applyProtection="1">
      <alignment horizontal="center" vertical="center" wrapText="1"/>
      <protection hidden="1"/>
    </xf>
    <xf numFmtId="0" fontId="7" fillId="0" borderId="48" xfId="0" applyFont="1" applyBorder="1" applyAlignment="1" applyProtection="1">
      <alignment horizontal="center" vertical="center"/>
      <protection hidden="1"/>
    </xf>
    <xf numFmtId="0" fontId="6" fillId="0" borderId="39" xfId="0" applyFont="1" applyBorder="1" applyAlignment="1" applyProtection="1">
      <alignment horizontal="center"/>
      <protection hidden="1"/>
    </xf>
    <xf numFmtId="0" fontId="6" fillId="0" borderId="76" xfId="0" applyFont="1" applyBorder="1" applyAlignment="1" applyProtection="1">
      <alignment horizontal="center"/>
      <protection hidden="1"/>
    </xf>
    <xf numFmtId="0" fontId="7" fillId="0" borderId="10" xfId="0" applyFont="1" applyBorder="1" applyAlignment="1" applyProtection="1">
      <alignment horizontal="center"/>
      <protection hidden="1"/>
    </xf>
    <xf numFmtId="0" fontId="7" fillId="0" borderId="54" xfId="0" applyFont="1" applyBorder="1" applyAlignment="1" applyProtection="1">
      <alignment horizontal="center"/>
      <protection hidden="1"/>
    </xf>
    <xf numFmtId="0" fontId="7" fillId="0" borderId="48" xfId="0" applyFont="1" applyBorder="1" applyAlignment="1" applyProtection="1">
      <alignment horizontal="center"/>
      <protection hidden="1"/>
    </xf>
    <xf numFmtId="0" fontId="7" fillId="0" borderId="51" xfId="0" applyFont="1" applyBorder="1" applyAlignment="1" applyProtection="1">
      <alignment horizontal="center"/>
      <protection hidden="1"/>
    </xf>
    <xf numFmtId="0" fontId="7" fillId="0" borderId="10" xfId="0" applyFont="1" applyBorder="1" applyAlignment="1" applyProtection="1">
      <alignment horizontal="left" vertical="center" wrapText="1"/>
      <protection hidden="1"/>
    </xf>
    <xf numFmtId="0" fontId="7" fillId="0" borderId="53" xfId="0" applyFont="1" applyBorder="1" applyAlignment="1" applyProtection="1">
      <alignment horizontal="left" vertical="center" wrapText="1"/>
      <protection hidden="1"/>
    </xf>
    <xf numFmtId="0" fontId="7" fillId="0" borderId="74" xfId="0" applyFont="1" applyBorder="1" applyAlignment="1" applyProtection="1">
      <alignment horizontal="left" vertical="center" wrapText="1"/>
      <protection hidden="1"/>
    </xf>
    <xf numFmtId="0" fontId="7" fillId="0" borderId="9" xfId="0" applyFont="1" applyBorder="1" applyAlignment="1" applyProtection="1">
      <alignment horizontal="left" vertical="center" wrapText="1"/>
      <protection hidden="1"/>
    </xf>
    <xf numFmtId="0" fontId="7" fillId="0" borderId="29" xfId="0" applyFont="1" applyBorder="1" applyAlignment="1" applyProtection="1">
      <alignment horizontal="left" vertical="center" wrapText="1"/>
      <protection hidden="1"/>
    </xf>
    <xf numFmtId="0" fontId="7" fillId="0" borderId="26" xfId="0" applyFont="1" applyBorder="1" applyAlignment="1" applyProtection="1">
      <alignment horizontal="left" vertical="center" wrapText="1"/>
      <protection hidden="1"/>
    </xf>
    <xf numFmtId="0" fontId="7" fillId="0" borderId="27" xfId="0" applyFont="1" applyBorder="1" applyAlignment="1" applyProtection="1">
      <alignment horizontal="left" vertical="center" wrapText="1"/>
      <protection hidden="1"/>
    </xf>
    <xf numFmtId="0" fontId="6" fillId="0" borderId="49" xfId="0" applyFont="1" applyBorder="1" applyAlignment="1" applyProtection="1">
      <alignment horizontal="left" vertical="center"/>
      <protection hidden="1"/>
    </xf>
    <xf numFmtId="0" fontId="6" fillId="0" borderId="50" xfId="0" applyFont="1" applyBorder="1" applyAlignment="1" applyProtection="1">
      <alignment horizontal="left" vertical="center"/>
      <protection hidden="1"/>
    </xf>
    <xf numFmtId="0" fontId="6" fillId="0" borderId="51" xfId="0" applyFont="1" applyBorder="1" applyAlignment="1" applyProtection="1">
      <alignment horizontal="left" vertical="center"/>
      <protection hidden="1"/>
    </xf>
    <xf numFmtId="0" fontId="6" fillId="0" borderId="39" xfId="0" applyFont="1" applyBorder="1" applyAlignment="1" applyProtection="1">
      <alignment horizontal="center" vertical="center"/>
      <protection hidden="1"/>
    </xf>
    <xf numFmtId="0" fontId="6" fillId="0" borderId="41" xfId="0" applyFont="1" applyBorder="1" applyAlignment="1" applyProtection="1">
      <alignment horizontal="center" vertical="center"/>
      <protection hidden="1"/>
    </xf>
    <xf numFmtId="0" fontId="6" fillId="0" borderId="43" xfId="0" applyFont="1" applyBorder="1" applyAlignment="1" applyProtection="1">
      <alignment horizontal="center" vertical="center"/>
      <protection hidden="1"/>
    </xf>
    <xf numFmtId="0" fontId="6" fillId="0" borderId="52" xfId="0" applyFont="1" applyBorder="1" applyAlignment="1" applyProtection="1">
      <alignment horizontal="left" vertical="center"/>
      <protection hidden="1"/>
    </xf>
    <xf numFmtId="0" fontId="6" fillId="0" borderId="53" xfId="0" applyFont="1" applyBorder="1" applyAlignment="1" applyProtection="1">
      <alignment horizontal="left" vertical="center"/>
      <protection hidden="1"/>
    </xf>
    <xf numFmtId="0" fontId="6" fillId="0" borderId="54" xfId="0" applyFont="1" applyBorder="1" applyAlignment="1" applyProtection="1">
      <alignment horizontal="left" vertical="center"/>
      <protection hidden="1"/>
    </xf>
    <xf numFmtId="0" fontId="7" fillId="0" borderId="0" xfId="0" applyFont="1" applyAlignment="1" applyProtection="1">
      <alignment horizontal="left" wrapText="1"/>
      <protection hidden="1"/>
    </xf>
    <xf numFmtId="0" fontId="6" fillId="0" borderId="55" xfId="0" applyFont="1" applyBorder="1" applyAlignment="1" applyProtection="1">
      <alignment horizontal="left" vertical="center"/>
      <protection hidden="1"/>
    </xf>
    <xf numFmtId="0" fontId="6" fillId="0" borderId="56" xfId="0" applyFont="1" applyBorder="1" applyAlignment="1" applyProtection="1">
      <alignment horizontal="left" vertical="center"/>
      <protection hidden="1"/>
    </xf>
    <xf numFmtId="0" fontId="6" fillId="0" borderId="57" xfId="0" applyFont="1" applyBorder="1" applyAlignment="1" applyProtection="1">
      <alignment horizontal="left" vertical="center"/>
      <protection hidden="1"/>
    </xf>
    <xf numFmtId="0" fontId="7" fillId="0" borderId="0" xfId="0" applyFont="1" applyAlignment="1" applyProtection="1">
      <alignment horizontal="center" vertical="top" wrapText="1"/>
      <protection hidden="1"/>
    </xf>
    <xf numFmtId="0" fontId="17" fillId="0" borderId="67" xfId="0" applyFont="1" applyBorder="1" applyAlignment="1" applyProtection="1">
      <alignment horizontal="center" vertical="top" wrapText="1"/>
      <protection hidden="1"/>
    </xf>
    <xf numFmtId="0" fontId="7" fillId="0" borderId="9" xfId="0" applyFont="1" applyBorder="1" applyAlignment="1" applyProtection="1">
      <alignment horizontal="center" vertical="center" wrapText="1"/>
      <protection hidden="1"/>
    </xf>
    <xf numFmtId="0" fontId="18" fillId="0" borderId="10" xfId="0" applyFont="1" applyBorder="1" applyAlignment="1" applyProtection="1">
      <alignment horizontal="center"/>
      <protection locked="0"/>
    </xf>
    <xf numFmtId="0" fontId="18" fillId="0" borderId="53" xfId="0" applyFont="1" applyBorder="1" applyAlignment="1" applyProtection="1">
      <alignment horizontal="center"/>
      <protection locked="0"/>
    </xf>
    <xf numFmtId="0" fontId="18" fillId="0" borderId="54" xfId="0" applyFont="1" applyBorder="1" applyAlignment="1" applyProtection="1">
      <alignment horizontal="center"/>
      <protection locked="0"/>
    </xf>
    <xf numFmtId="14" fontId="18" fillId="0" borderId="10" xfId="0" applyNumberFormat="1" applyFont="1" applyBorder="1" applyAlignment="1" applyProtection="1">
      <alignment horizontal="center"/>
      <protection locked="0"/>
    </xf>
    <xf numFmtId="0" fontId="14" fillId="2" borderId="0" xfId="0" applyFont="1" applyFill="1" applyAlignment="1" applyProtection="1">
      <alignment horizontal="left" vertical="center"/>
      <protection hidden="1"/>
    </xf>
    <xf numFmtId="15" fontId="18" fillId="0" borderId="10" xfId="0" applyNumberFormat="1" applyFont="1" applyBorder="1" applyAlignment="1" applyProtection="1">
      <alignment horizontal="center"/>
      <protection locked="0"/>
    </xf>
    <xf numFmtId="0" fontId="17" fillId="2" borderId="10" xfId="0" applyFont="1" applyFill="1" applyBorder="1" applyAlignment="1" applyProtection="1">
      <alignment horizontal="center" vertical="top" wrapText="1"/>
      <protection hidden="1"/>
    </xf>
    <xf numFmtId="0" fontId="17" fillId="2" borderId="53" xfId="0" applyFont="1" applyFill="1" applyBorder="1" applyAlignment="1" applyProtection="1">
      <alignment horizontal="center" vertical="top" wrapText="1"/>
      <protection hidden="1"/>
    </xf>
    <xf numFmtId="0" fontId="17" fillId="2" borderId="54" xfId="0" applyFont="1" applyFill="1" applyBorder="1" applyAlignment="1" applyProtection="1">
      <alignment horizontal="center" vertical="top" wrapText="1"/>
      <protection hidden="1"/>
    </xf>
    <xf numFmtId="0" fontId="3" fillId="2" borderId="0" xfId="0" applyFont="1" applyFill="1" applyAlignment="1" applyProtection="1">
      <alignment horizontal="left" vertical="center"/>
      <protection hidden="1"/>
    </xf>
    <xf numFmtId="49" fontId="7" fillId="0" borderId="37" xfId="0" applyNumberFormat="1" applyFont="1" applyBorder="1" applyAlignment="1" applyProtection="1">
      <alignment horizontal="left" vertical="top" wrapText="1"/>
      <protection hidden="1"/>
    </xf>
    <xf numFmtId="49" fontId="7" fillId="0" borderId="0" xfId="0" applyNumberFormat="1" applyFont="1" applyAlignment="1" applyProtection="1">
      <alignment horizontal="left" vertical="top" wrapText="1"/>
      <protection hidden="1"/>
    </xf>
    <xf numFmtId="0" fontId="6" fillId="0" borderId="12" xfId="0" applyFont="1" applyBorder="1" applyAlignment="1" applyProtection="1">
      <alignment horizontal="center"/>
      <protection hidden="1"/>
    </xf>
    <xf numFmtId="0" fontId="6" fillId="0" borderId="67" xfId="0" applyFont="1" applyBorder="1" applyAlignment="1" applyProtection="1">
      <alignment horizontal="center"/>
      <protection hidden="1"/>
    </xf>
    <xf numFmtId="0" fontId="6" fillId="0" borderId="13" xfId="0" applyFont="1" applyBorder="1" applyAlignment="1" applyProtection="1">
      <alignment horizontal="center"/>
      <protection hidden="1"/>
    </xf>
    <xf numFmtId="0" fontId="6" fillId="0" borderId="11" xfId="0" applyFont="1" applyBorder="1" applyAlignment="1" applyProtection="1">
      <alignment horizontal="center"/>
      <protection hidden="1"/>
    </xf>
    <xf numFmtId="0" fontId="6" fillId="0" borderId="0" xfId="0" applyFont="1" applyAlignment="1" applyProtection="1">
      <alignment horizontal="center"/>
      <protection hidden="1"/>
    </xf>
    <xf numFmtId="0" fontId="6" fillId="0" borderId="16" xfId="0" applyFont="1" applyBorder="1" applyAlignment="1" applyProtection="1">
      <alignment horizontal="center"/>
      <protection hidden="1"/>
    </xf>
    <xf numFmtId="0" fontId="6" fillId="2" borderId="39" xfId="0" applyFont="1" applyFill="1" applyBorder="1" applyAlignment="1" applyProtection="1">
      <alignment horizontal="center" vertical="center"/>
      <protection hidden="1"/>
    </xf>
    <xf numFmtId="0" fontId="6" fillId="2" borderId="41" xfId="0" applyFont="1" applyFill="1" applyBorder="1" applyAlignment="1" applyProtection="1">
      <alignment horizontal="center" vertical="center"/>
      <protection hidden="1"/>
    </xf>
    <xf numFmtId="0" fontId="6" fillId="2" borderId="43" xfId="0" applyFont="1" applyFill="1" applyBorder="1" applyAlignment="1" applyProtection="1">
      <alignment horizontal="center" vertical="center"/>
      <protection hidden="1"/>
    </xf>
    <xf numFmtId="0" fontId="7" fillId="0" borderId="34" xfId="0" applyFont="1" applyBorder="1" applyAlignment="1" applyProtection="1">
      <alignment horizontal="center" vertical="center"/>
      <protection hidden="1"/>
    </xf>
    <xf numFmtId="0" fontId="7" fillId="0" borderId="22" xfId="0" applyFont="1" applyBorder="1" applyAlignment="1" applyProtection="1">
      <alignment horizontal="center" vertical="center"/>
      <protection hidden="1"/>
    </xf>
    <xf numFmtId="0" fontId="7" fillId="0" borderId="32" xfId="0" applyFont="1" applyBorder="1" applyAlignment="1" applyProtection="1">
      <alignment horizontal="center" vertical="center"/>
      <protection hidden="1"/>
    </xf>
    <xf numFmtId="0" fontId="7" fillId="0" borderId="9" xfId="0" applyFont="1" applyBorder="1" applyAlignment="1" applyProtection="1">
      <alignment horizontal="center" vertical="center"/>
      <protection hidden="1"/>
    </xf>
    <xf numFmtId="0" fontId="7" fillId="0" borderId="44" xfId="0" applyFont="1" applyBorder="1" applyAlignment="1" applyProtection="1">
      <alignment horizontal="center" vertical="center"/>
      <protection hidden="1"/>
    </xf>
    <xf numFmtId="0" fontId="7" fillId="0" borderId="26" xfId="0" applyFont="1" applyBorder="1" applyAlignment="1" applyProtection="1">
      <alignment horizontal="center" vertical="center"/>
      <protection hidden="1"/>
    </xf>
    <xf numFmtId="0" fontId="7" fillId="0" borderId="48" xfId="0" applyFont="1" applyBorder="1" applyAlignment="1" applyProtection="1">
      <alignment horizontal="left" vertical="center" wrapText="1"/>
      <protection hidden="1"/>
    </xf>
    <xf numFmtId="0" fontId="7" fillId="0" borderId="50" xfId="0" applyFont="1" applyBorder="1" applyAlignment="1" applyProtection="1">
      <alignment horizontal="left" vertical="center" wrapText="1"/>
      <protection hidden="1"/>
    </xf>
    <xf numFmtId="0" fontId="7" fillId="0" borderId="73" xfId="0" applyFont="1" applyBorder="1" applyAlignment="1" applyProtection="1">
      <alignment horizontal="left" vertical="center" wrapText="1"/>
      <protection hidden="1"/>
    </xf>
    <xf numFmtId="0" fontId="6" fillId="4" borderId="10" xfId="0" applyFont="1" applyFill="1" applyBorder="1" applyAlignment="1" applyProtection="1">
      <alignment horizontal="center" vertical="center" wrapText="1"/>
      <protection hidden="1"/>
    </xf>
    <xf numFmtId="0" fontId="6" fillId="4" borderId="53" xfId="0" applyFont="1" applyFill="1" applyBorder="1" applyAlignment="1" applyProtection="1">
      <alignment horizontal="center" vertical="center" wrapText="1"/>
      <protection hidden="1"/>
    </xf>
    <xf numFmtId="0" fontId="7" fillId="0" borderId="72" xfId="0" applyFont="1" applyBorder="1" applyAlignment="1" applyProtection="1">
      <alignment horizontal="left" wrapText="1"/>
      <protection hidden="1"/>
    </xf>
    <xf numFmtId="0" fontId="7" fillId="0" borderId="5" xfId="0" applyFont="1" applyBorder="1" applyAlignment="1" applyProtection="1">
      <alignment horizontal="left" wrapText="1"/>
      <protection hidden="1"/>
    </xf>
    <xf numFmtId="0" fontId="6" fillId="4" borderId="9" xfId="0" applyFont="1" applyFill="1" applyBorder="1" applyAlignment="1" applyProtection="1">
      <alignment horizontal="center" vertical="center" wrapText="1"/>
      <protection hidden="1"/>
    </xf>
    <xf numFmtId="0" fontId="6" fillId="0" borderId="66" xfId="0" applyFont="1" applyBorder="1" applyAlignment="1" applyProtection="1">
      <alignment horizontal="center" vertical="top" wrapText="1"/>
      <protection hidden="1"/>
    </xf>
    <xf numFmtId="0" fontId="7" fillId="0" borderId="65" xfId="0" applyFont="1" applyBorder="1" applyAlignment="1" applyProtection="1">
      <alignment horizontal="left" wrapText="1"/>
      <protection hidden="1"/>
    </xf>
    <xf numFmtId="0" fontId="7" fillId="0" borderId="68" xfId="0" applyFont="1" applyBorder="1" applyAlignment="1" applyProtection="1">
      <alignment horizontal="left"/>
      <protection hidden="1"/>
    </xf>
    <xf numFmtId="0" fontId="7" fillId="0" borderId="1" xfId="0" applyFont="1" applyBorder="1" applyAlignment="1" applyProtection="1">
      <alignment horizontal="left"/>
      <protection hidden="1"/>
    </xf>
    <xf numFmtId="0" fontId="7" fillId="0" borderId="68" xfId="0" applyFont="1" applyBorder="1" applyAlignment="1" applyProtection="1">
      <alignment horizontal="left" wrapText="1"/>
      <protection hidden="1"/>
    </xf>
    <xf numFmtId="0" fontId="7" fillId="0" borderId="1" xfId="0" applyFont="1" applyBorder="1" applyAlignment="1" applyProtection="1">
      <alignment horizontal="left" wrapText="1"/>
      <protection hidden="1"/>
    </xf>
    <xf numFmtId="0" fontId="7" fillId="0" borderId="72" xfId="0" applyFont="1" applyBorder="1" applyAlignment="1" applyProtection="1">
      <alignment horizontal="left" vertical="center" wrapText="1"/>
      <protection hidden="1"/>
    </xf>
    <xf numFmtId="0" fontId="7" fillId="0" borderId="65" xfId="0" applyFont="1" applyBorder="1" applyAlignment="1" applyProtection="1">
      <alignment horizontal="left" vertical="center" wrapText="1"/>
      <protection hidden="1"/>
    </xf>
    <xf numFmtId="0" fontId="7" fillId="0" borderId="5" xfId="0" applyFont="1" applyBorder="1" applyAlignment="1" applyProtection="1">
      <alignment horizontal="left" vertical="center" wrapText="1"/>
      <protection hidden="1"/>
    </xf>
    <xf numFmtId="0" fontId="7" fillId="0" borderId="68" xfId="0" applyFont="1" applyBorder="1" applyAlignment="1" applyProtection="1">
      <alignment horizontal="left" vertical="center" wrapText="1"/>
      <protection hidden="1"/>
    </xf>
    <xf numFmtId="0" fontId="7" fillId="0" borderId="1" xfId="0" applyFont="1" applyBorder="1" applyAlignment="1" applyProtection="1">
      <alignment horizontal="left" vertical="center" wrapText="1"/>
      <protection hidden="1"/>
    </xf>
    <xf numFmtId="0" fontId="7" fillId="0" borderId="68" xfId="0" applyFont="1" applyBorder="1" applyAlignment="1" applyProtection="1">
      <alignment horizontal="left" vertical="center"/>
      <protection hidden="1"/>
    </xf>
    <xf numFmtId="0" fontId="7" fillId="0" borderId="1" xfId="0" applyFont="1" applyBorder="1" applyAlignment="1" applyProtection="1">
      <alignment horizontal="left" vertical="center"/>
      <protection hidden="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41910</xdr:colOff>
      <xdr:row>1</xdr:row>
      <xdr:rowOff>152400</xdr:rowOff>
    </xdr:from>
    <xdr:to>
      <xdr:col>2</xdr:col>
      <xdr:colOff>678180</xdr:colOff>
      <xdr:row>4</xdr:row>
      <xdr:rowOff>220980</xdr:rowOff>
    </xdr:to>
    <xdr:pic>
      <xdr:nvPicPr>
        <xdr:cNvPr id="3" name="Imagen 2">
          <a:extLst>
            <a:ext uri="{FF2B5EF4-FFF2-40B4-BE49-F238E27FC236}">
              <a16:creationId xmlns:a16="http://schemas.microsoft.com/office/drawing/2014/main" id="{96C7CC8F-FF4A-43DE-A3CC-663C967BA619}"/>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l="30132" r="30370" b="44595"/>
        <a:stretch/>
      </xdr:blipFill>
      <xdr:spPr bwMode="auto">
        <a:xfrm>
          <a:off x="834390" y="335280"/>
          <a:ext cx="872490" cy="792480"/>
        </a:xfrm>
        <a:prstGeom prst="rect">
          <a:avLst/>
        </a:prstGeom>
        <a:noFill/>
        <a:ln>
          <a:noFill/>
        </a:ln>
        <a:extLst>
          <a:ext uri="{53640926-AAD7-44D8-BBD7-CCE9431645EC}">
            <a14:shadowObscured xmlns:a14="http://schemas.microsoft.com/office/drawing/2010/main"/>
          </a:ext>
        </a:extLst>
      </xdr:spPr>
    </xdr:pic>
    <xdr:clientData/>
  </xdr:twoCellAnchor>
  <xdr:twoCellAnchor>
    <xdr:from>
      <xdr:col>10</xdr:col>
      <xdr:colOff>342900</xdr:colOff>
      <xdr:row>12</xdr:row>
      <xdr:rowOff>83820</xdr:rowOff>
    </xdr:from>
    <xdr:to>
      <xdr:col>10</xdr:col>
      <xdr:colOff>1699260</xdr:colOff>
      <xdr:row>13</xdr:row>
      <xdr:rowOff>152400</xdr:rowOff>
    </xdr:to>
    <xdr:sp macro="[0]!Reiniciar_Perfil" textlink="">
      <xdr:nvSpPr>
        <xdr:cNvPr id="2" name="Rectángulo 1">
          <a:extLst>
            <a:ext uri="{FF2B5EF4-FFF2-40B4-BE49-F238E27FC236}">
              <a16:creationId xmlns:a16="http://schemas.microsoft.com/office/drawing/2014/main" id="{C1EF39AF-FA74-4050-A694-7BFFFD5DCDC0}"/>
            </a:ext>
          </a:extLst>
        </xdr:cNvPr>
        <xdr:cNvSpPr/>
      </xdr:nvSpPr>
      <xdr:spPr>
        <a:xfrm>
          <a:off x="9624060" y="2743200"/>
          <a:ext cx="1356360" cy="25146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s-MX" sz="1100" b="1"/>
            <a:t>REINICIAR PERFIL</a:t>
          </a:r>
        </a:p>
      </xdr:txBody>
    </xdr: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5F20-45D3-43D9-8FA3-C286B2ADCDED}">
  <sheetPr codeName="Hoja1">
    <pageSetUpPr fitToPage="1"/>
  </sheetPr>
  <dimension ref="A2:O162"/>
  <sheetViews>
    <sheetView showGridLines="0" tabSelected="1" topLeftCell="A102" zoomScaleNormal="100" workbookViewId="0">
      <selection activeCell="D152" sqref="D152:K152"/>
    </sheetView>
  </sheetViews>
  <sheetFormatPr baseColWidth="10" defaultColWidth="11.44140625" defaultRowHeight="14.4" x14ac:dyDescent="0.3"/>
  <cols>
    <col min="1" max="1" width="11.44140625" style="12"/>
    <col min="2" max="2" width="3.44140625" style="12" customWidth="1"/>
    <col min="3" max="3" width="22.44140625" style="12" customWidth="1"/>
    <col min="4" max="4" width="11.44140625" style="12" customWidth="1"/>
    <col min="5" max="6" width="11.44140625" style="12"/>
    <col min="7" max="7" width="3.44140625" style="12" customWidth="1"/>
    <col min="8" max="8" width="33.33203125" style="12" bestFit="1" customWidth="1"/>
    <col min="9" max="9" width="11.44140625" style="12"/>
    <col min="10" max="10" width="14.88671875" style="12" customWidth="1"/>
    <col min="11" max="11" width="25.109375" style="12" customWidth="1"/>
    <col min="12" max="16384" width="11.44140625" style="12"/>
  </cols>
  <sheetData>
    <row r="2" spans="2:15" ht="25.8" x14ac:dyDescent="0.3">
      <c r="B2" s="81" t="s">
        <v>122</v>
      </c>
      <c r="C2" s="81"/>
      <c r="D2" s="81"/>
      <c r="E2" s="81"/>
      <c r="F2" s="81"/>
      <c r="G2" s="81"/>
      <c r="H2" s="81"/>
      <c r="I2" s="81"/>
      <c r="J2" s="81"/>
      <c r="K2" s="81"/>
    </row>
    <row r="3" spans="2:15" ht="15.6" x14ac:dyDescent="0.3">
      <c r="B3" s="82" t="s">
        <v>82</v>
      </c>
      <c r="C3" s="82"/>
      <c r="D3" s="82"/>
      <c r="E3" s="82"/>
      <c r="F3" s="82"/>
      <c r="G3" s="82"/>
      <c r="H3" s="82"/>
      <c r="I3" s="82"/>
      <c r="J3" s="82"/>
      <c r="K3" s="82"/>
    </row>
    <row r="4" spans="2:15" ht="15.6" x14ac:dyDescent="0.3">
      <c r="B4" s="82" t="s">
        <v>83</v>
      </c>
      <c r="C4" s="82"/>
      <c r="D4" s="82"/>
      <c r="E4" s="82"/>
      <c r="F4" s="82"/>
      <c r="G4" s="82"/>
      <c r="H4" s="82"/>
      <c r="I4" s="82"/>
      <c r="J4" s="82"/>
      <c r="K4" s="82"/>
    </row>
    <row r="5" spans="2:15" ht="25.8" x14ac:dyDescent="0.3">
      <c r="B5" s="81" t="s">
        <v>96</v>
      </c>
      <c r="C5" s="81"/>
      <c r="D5" s="81"/>
      <c r="E5" s="81"/>
      <c r="F5" s="81"/>
      <c r="G5" s="81"/>
      <c r="H5" s="81"/>
      <c r="I5" s="81"/>
      <c r="J5" s="81"/>
      <c r="K5" s="81"/>
    </row>
    <row r="6" spans="2:15" ht="19.2" x14ac:dyDescent="0.3">
      <c r="B6" s="13" t="s">
        <v>96</v>
      </c>
      <c r="C6" s="14"/>
      <c r="D6" s="14"/>
      <c r="E6" s="14"/>
      <c r="F6" s="14"/>
      <c r="G6" s="14"/>
      <c r="H6" s="14"/>
      <c r="I6" s="14"/>
      <c r="J6" s="14"/>
      <c r="K6" s="14"/>
    </row>
    <row r="7" spans="2:15" ht="14.4" customHeight="1" x14ac:dyDescent="0.3">
      <c r="B7" s="120" t="s">
        <v>12</v>
      </c>
      <c r="C7" s="120"/>
      <c r="D7" s="120"/>
      <c r="E7" s="120"/>
      <c r="F7" s="120"/>
      <c r="G7" s="120"/>
      <c r="H7" s="120"/>
      <c r="I7" s="120"/>
      <c r="J7" s="120"/>
      <c r="K7" s="120"/>
      <c r="L7" s="15"/>
      <c r="M7" s="15"/>
      <c r="N7" s="15"/>
      <c r="O7" s="15"/>
    </row>
    <row r="8" spans="2:15" x14ac:dyDescent="0.3">
      <c r="B8" s="120"/>
      <c r="C8" s="120"/>
      <c r="D8" s="120"/>
      <c r="E8" s="120"/>
      <c r="F8" s="120"/>
      <c r="G8" s="120"/>
      <c r="H8" s="120"/>
      <c r="I8" s="120"/>
      <c r="J8" s="120"/>
      <c r="K8" s="120"/>
      <c r="L8" s="15"/>
      <c r="M8" s="15"/>
      <c r="N8" s="15"/>
      <c r="O8" s="15"/>
    </row>
    <row r="9" spans="2:15" x14ac:dyDescent="0.3">
      <c r="B9" s="120"/>
      <c r="C9" s="120"/>
      <c r="D9" s="120"/>
      <c r="E9" s="120"/>
      <c r="F9" s="120"/>
      <c r="G9" s="120"/>
      <c r="H9" s="120"/>
      <c r="I9" s="120"/>
      <c r="J9" s="120"/>
      <c r="K9" s="120"/>
      <c r="L9" s="15"/>
      <c r="M9" s="15"/>
      <c r="N9" s="15"/>
      <c r="O9" s="15"/>
    </row>
    <row r="10" spans="2:15" x14ac:dyDescent="0.3">
      <c r="B10" s="120"/>
      <c r="C10" s="120"/>
      <c r="D10" s="120"/>
      <c r="E10" s="120"/>
      <c r="F10" s="120"/>
      <c r="G10" s="120"/>
      <c r="H10" s="120"/>
      <c r="I10" s="120"/>
      <c r="J10" s="120"/>
      <c r="K10" s="120"/>
      <c r="L10" s="15"/>
      <c r="M10" s="15"/>
      <c r="N10" s="15"/>
      <c r="O10" s="15"/>
    </row>
    <row r="11" spans="2:15" x14ac:dyDescent="0.3">
      <c r="B11" s="120"/>
      <c r="C11" s="120"/>
      <c r="D11" s="120"/>
      <c r="E11" s="120"/>
      <c r="F11" s="120"/>
      <c r="G11" s="120"/>
      <c r="H11" s="120"/>
      <c r="I11" s="120"/>
      <c r="J11" s="120"/>
      <c r="K11" s="120"/>
      <c r="L11" s="71"/>
      <c r="M11" s="71"/>
      <c r="N11" s="71"/>
      <c r="O11" s="71"/>
    </row>
    <row r="12" spans="2:15" ht="21" x14ac:dyDescent="0.3">
      <c r="B12" s="16" t="s">
        <v>0</v>
      </c>
      <c r="C12" s="17"/>
      <c r="D12" s="17"/>
      <c r="E12" s="17"/>
      <c r="F12" s="17"/>
      <c r="G12" s="17"/>
      <c r="H12" s="17"/>
      <c r="I12" s="17"/>
      <c r="J12" s="17"/>
      <c r="K12" s="17"/>
    </row>
    <row r="13" spans="2:15" x14ac:dyDescent="0.3">
      <c r="B13" s="18" t="s">
        <v>84</v>
      </c>
    </row>
    <row r="15" spans="2:15" ht="14.4" customHeight="1" x14ac:dyDescent="0.3">
      <c r="B15" s="114" t="s">
        <v>91</v>
      </c>
      <c r="C15" s="115"/>
      <c r="D15" s="115"/>
      <c r="E15" s="116"/>
      <c r="G15" s="114" t="s">
        <v>97</v>
      </c>
      <c r="H15" s="115"/>
      <c r="I15" s="115"/>
      <c r="J15" s="116"/>
    </row>
    <row r="16" spans="2:15" ht="13.35" customHeight="1" x14ac:dyDescent="0.3">
      <c r="B16" s="117"/>
      <c r="C16" s="118"/>
      <c r="D16" s="118"/>
      <c r="E16" s="119"/>
      <c r="G16" s="117"/>
      <c r="H16" s="118"/>
      <c r="I16" s="118"/>
      <c r="J16" s="119"/>
    </row>
    <row r="17" spans="2:10" x14ac:dyDescent="0.3">
      <c r="B17" s="19" t="s">
        <v>1</v>
      </c>
      <c r="C17" s="20" t="s">
        <v>95</v>
      </c>
      <c r="D17" s="1"/>
      <c r="E17" s="21"/>
      <c r="G17" s="19" t="s">
        <v>1</v>
      </c>
      <c r="H17" s="20" t="s">
        <v>123</v>
      </c>
      <c r="I17" s="1" t="s">
        <v>134</v>
      </c>
      <c r="J17" s="21"/>
    </row>
    <row r="18" spans="2:10" x14ac:dyDescent="0.3">
      <c r="B18" s="19" t="s">
        <v>2</v>
      </c>
      <c r="C18" s="22" t="s">
        <v>94</v>
      </c>
      <c r="D18" s="1"/>
      <c r="E18" s="21"/>
      <c r="G18" s="19" t="s">
        <v>2</v>
      </c>
      <c r="H18" s="22" t="s">
        <v>124</v>
      </c>
      <c r="I18" s="1"/>
      <c r="J18" s="21"/>
    </row>
    <row r="19" spans="2:10" x14ac:dyDescent="0.3">
      <c r="B19" s="19" t="s">
        <v>3</v>
      </c>
      <c r="C19" s="74" t="s">
        <v>93</v>
      </c>
      <c r="D19" s="1"/>
      <c r="E19" s="21"/>
      <c r="G19" s="19" t="s">
        <v>3</v>
      </c>
      <c r="H19" s="74" t="s">
        <v>98</v>
      </c>
      <c r="I19" s="1"/>
      <c r="J19" s="21"/>
    </row>
    <row r="20" spans="2:10" x14ac:dyDescent="0.3">
      <c r="B20" s="75" t="s">
        <v>4</v>
      </c>
      <c r="C20" s="25" t="s">
        <v>92</v>
      </c>
      <c r="D20" s="1" t="s">
        <v>134</v>
      </c>
      <c r="E20" s="21"/>
      <c r="G20" s="19" t="s">
        <v>4</v>
      </c>
      <c r="H20" s="25" t="s">
        <v>99</v>
      </c>
      <c r="I20" s="1"/>
      <c r="J20" s="21"/>
    </row>
    <row r="21" spans="2:10" x14ac:dyDescent="0.3">
      <c r="B21" s="27"/>
      <c r="C21" s="39" t="s">
        <v>6</v>
      </c>
      <c r="D21" s="29">
        <f>(IF(D17="X",40,IF(D18="X",30,IF(D19="X",20,IF(D20="X",10,0)))))/10</f>
        <v>1</v>
      </c>
      <c r="E21" s="21"/>
      <c r="G21" s="75" t="s">
        <v>100</v>
      </c>
      <c r="H21" s="74" t="s">
        <v>101</v>
      </c>
      <c r="I21" s="1"/>
      <c r="J21" s="21"/>
    </row>
    <row r="22" spans="2:10" x14ac:dyDescent="0.3">
      <c r="B22" s="26"/>
      <c r="C22" s="30"/>
      <c r="D22" s="41"/>
      <c r="E22" s="23"/>
      <c r="G22" s="27"/>
      <c r="H22" s="28" t="s">
        <v>6</v>
      </c>
      <c r="I22" s="29">
        <f>(IF(I17="X",30,IF(I18="X",25,IF(I19="X",20,IF(I20="X",15,IF(I21="X",10,0)))))/10)</f>
        <v>3</v>
      </c>
      <c r="J22" s="21"/>
    </row>
    <row r="23" spans="2:10" x14ac:dyDescent="0.3">
      <c r="B23" s="35"/>
      <c r="C23" s="32"/>
      <c r="D23" s="32"/>
      <c r="E23" s="34"/>
      <c r="G23" s="31"/>
      <c r="H23" s="32"/>
      <c r="I23" s="33"/>
      <c r="J23" s="34"/>
    </row>
    <row r="25" spans="2:10" ht="14.4" customHeight="1" x14ac:dyDescent="0.3">
      <c r="B25" s="114" t="s">
        <v>102</v>
      </c>
      <c r="C25" s="115"/>
      <c r="D25" s="115"/>
      <c r="E25" s="116"/>
      <c r="F25" s="38"/>
      <c r="G25" s="114" t="s">
        <v>7</v>
      </c>
      <c r="H25" s="115"/>
      <c r="I25" s="115"/>
      <c r="J25" s="116"/>
    </row>
    <row r="26" spans="2:10" x14ac:dyDescent="0.3">
      <c r="B26" s="117"/>
      <c r="C26" s="118"/>
      <c r="D26" s="118"/>
      <c r="E26" s="119"/>
      <c r="G26" s="117"/>
      <c r="H26" s="118"/>
      <c r="I26" s="118"/>
      <c r="J26" s="119"/>
    </row>
    <row r="27" spans="2:10" x14ac:dyDescent="0.3">
      <c r="B27" s="19" t="s">
        <v>1</v>
      </c>
      <c r="C27" s="20" t="s">
        <v>106</v>
      </c>
      <c r="D27" s="1"/>
      <c r="E27" s="21"/>
      <c r="G27" s="19" t="s">
        <v>1</v>
      </c>
      <c r="H27" s="20" t="s">
        <v>8</v>
      </c>
      <c r="I27" s="1"/>
      <c r="J27" s="21"/>
    </row>
    <row r="28" spans="2:10" x14ac:dyDescent="0.3">
      <c r="B28" s="19" t="s">
        <v>2</v>
      </c>
      <c r="C28" s="22" t="s">
        <v>105</v>
      </c>
      <c r="D28" s="1"/>
      <c r="E28" s="21"/>
      <c r="G28" s="19" t="s">
        <v>2</v>
      </c>
      <c r="H28" s="22" t="s">
        <v>107</v>
      </c>
      <c r="I28" s="1" t="s">
        <v>135</v>
      </c>
      <c r="J28" s="21"/>
    </row>
    <row r="29" spans="2:10" x14ac:dyDescent="0.3">
      <c r="B29" s="19" t="s">
        <v>3</v>
      </c>
      <c r="C29" s="24" t="s">
        <v>104</v>
      </c>
      <c r="D29" s="1" t="s">
        <v>134</v>
      </c>
      <c r="E29" s="21"/>
      <c r="G29" s="27"/>
      <c r="H29" s="39" t="s">
        <v>6</v>
      </c>
      <c r="I29" s="40">
        <f>(IF(I27="X",35,IF(I28="X",25,0)))/10</f>
        <v>2.5</v>
      </c>
      <c r="J29" s="21"/>
    </row>
    <row r="30" spans="2:10" ht="14.4" customHeight="1" x14ac:dyDescent="0.3">
      <c r="B30" s="19" t="s">
        <v>4</v>
      </c>
      <c r="C30" s="25" t="s">
        <v>103</v>
      </c>
      <c r="D30" s="1"/>
      <c r="E30" s="21"/>
      <c r="G30" s="121" t="s">
        <v>129</v>
      </c>
      <c r="H30" s="122"/>
      <c r="I30" s="122"/>
      <c r="J30" s="123"/>
    </row>
    <row r="31" spans="2:10" ht="14.4" customHeight="1" x14ac:dyDescent="0.3">
      <c r="B31" s="27"/>
      <c r="C31" s="39" t="s">
        <v>6</v>
      </c>
      <c r="D31" s="29">
        <f>(IF(D27="X",10,IF(D28="X",20,IF(D29="X",30,IF(D30="X",40,0)))))/10</f>
        <v>3</v>
      </c>
      <c r="E31" s="21"/>
      <c r="G31" s="124"/>
      <c r="H31" s="125"/>
      <c r="I31" s="125"/>
      <c r="J31" s="126"/>
    </row>
    <row r="32" spans="2:10" ht="14.4" customHeight="1" x14ac:dyDescent="0.3">
      <c r="B32" s="26"/>
      <c r="C32" s="30"/>
      <c r="D32" s="41"/>
      <c r="E32" s="23"/>
      <c r="G32" s="124"/>
      <c r="H32" s="125"/>
      <c r="I32" s="125"/>
      <c r="J32" s="126"/>
    </row>
    <row r="33" spans="1:11" x14ac:dyDescent="0.3">
      <c r="A33" s="42"/>
      <c r="B33" s="35"/>
      <c r="C33" s="36"/>
      <c r="D33" s="36"/>
      <c r="E33" s="37"/>
      <c r="G33" s="127"/>
      <c r="H33" s="128"/>
      <c r="I33" s="128"/>
      <c r="J33" s="129"/>
    </row>
    <row r="35" spans="1:11" x14ac:dyDescent="0.3">
      <c r="B35" s="83" t="s">
        <v>13</v>
      </c>
      <c r="C35" s="83"/>
      <c r="D35" s="83"/>
      <c r="E35" s="83"/>
      <c r="F35" s="83"/>
      <c r="G35" s="83"/>
      <c r="H35" s="83"/>
      <c r="I35" s="83"/>
      <c r="J35" s="83"/>
    </row>
    <row r="36" spans="1:11" x14ac:dyDescent="0.3">
      <c r="B36" s="83" t="s">
        <v>85</v>
      </c>
      <c r="C36" s="83"/>
      <c r="D36" s="83"/>
      <c r="E36" s="83"/>
      <c r="F36" s="83"/>
      <c r="G36" s="83"/>
      <c r="H36" s="83"/>
      <c r="I36" s="83"/>
      <c r="J36" s="83"/>
      <c r="K36" s="83"/>
    </row>
    <row r="37" spans="1:11" ht="15" thickBot="1" x14ac:dyDescent="0.35">
      <c r="B37" s="44"/>
      <c r="C37" s="44"/>
      <c r="D37" s="44"/>
      <c r="E37" s="44"/>
      <c r="F37" s="44"/>
      <c r="G37" s="44"/>
      <c r="H37" s="44"/>
      <c r="I37" s="44"/>
      <c r="J37" s="44"/>
    </row>
    <row r="38" spans="1:11" ht="23.4" customHeight="1" x14ac:dyDescent="0.3">
      <c r="B38" s="145" t="s">
        <v>9</v>
      </c>
      <c r="C38" s="134"/>
      <c r="D38" s="139" t="s">
        <v>17</v>
      </c>
      <c r="E38" s="140"/>
      <c r="F38" s="133" t="s">
        <v>18</v>
      </c>
      <c r="G38" s="134"/>
      <c r="H38" s="130" t="s">
        <v>19</v>
      </c>
      <c r="I38" s="152" t="s">
        <v>86</v>
      </c>
      <c r="J38" s="153"/>
      <c r="K38" s="154"/>
    </row>
    <row r="39" spans="1:11" x14ac:dyDescent="0.3">
      <c r="B39" s="146"/>
      <c r="C39" s="136"/>
      <c r="D39" s="141"/>
      <c r="E39" s="142"/>
      <c r="F39" s="135"/>
      <c r="G39" s="136"/>
      <c r="H39" s="131"/>
      <c r="I39" s="45" t="s">
        <v>14</v>
      </c>
      <c r="J39" s="46" t="s">
        <v>15</v>
      </c>
      <c r="K39" s="47" t="s">
        <v>16</v>
      </c>
    </row>
    <row r="40" spans="1:11" x14ac:dyDescent="0.3">
      <c r="B40" s="146"/>
      <c r="C40" s="136"/>
      <c r="D40" s="141"/>
      <c r="E40" s="142"/>
      <c r="F40" s="135"/>
      <c r="G40" s="136"/>
      <c r="H40" s="131"/>
      <c r="I40" s="150" t="s">
        <v>87</v>
      </c>
      <c r="J40" s="148" t="s">
        <v>88</v>
      </c>
      <c r="K40" s="97" t="s">
        <v>89</v>
      </c>
    </row>
    <row r="41" spans="1:11" ht="34.35" customHeight="1" x14ac:dyDescent="0.3">
      <c r="B41" s="147"/>
      <c r="C41" s="138"/>
      <c r="D41" s="143"/>
      <c r="E41" s="144"/>
      <c r="F41" s="137"/>
      <c r="G41" s="138"/>
      <c r="H41" s="132"/>
      <c r="I41" s="151"/>
      <c r="J41" s="149"/>
      <c r="K41" s="98"/>
    </row>
    <row r="42" spans="1:11" ht="14.4" customHeight="1" x14ac:dyDescent="0.3">
      <c r="B42" s="95" t="s">
        <v>10</v>
      </c>
      <c r="C42" s="96"/>
      <c r="D42" s="89"/>
      <c r="E42" s="90"/>
      <c r="F42" s="89"/>
      <c r="G42" s="90"/>
      <c r="H42" s="93" t="s">
        <v>134</v>
      </c>
      <c r="I42" s="94" t="s">
        <v>139</v>
      </c>
      <c r="J42" s="88" t="s">
        <v>140</v>
      </c>
      <c r="K42" s="87" t="s">
        <v>141</v>
      </c>
    </row>
    <row r="43" spans="1:11" x14ac:dyDescent="0.3">
      <c r="B43" s="95"/>
      <c r="C43" s="96"/>
      <c r="D43" s="91"/>
      <c r="E43" s="92"/>
      <c r="F43" s="91"/>
      <c r="G43" s="92"/>
      <c r="H43" s="93"/>
      <c r="I43" s="94"/>
      <c r="J43" s="88"/>
      <c r="K43" s="87"/>
    </row>
    <row r="44" spans="1:11" ht="14.4" customHeight="1" x14ac:dyDescent="0.3">
      <c r="B44" s="95" t="s">
        <v>11</v>
      </c>
      <c r="C44" s="96"/>
      <c r="D44" s="89"/>
      <c r="E44" s="90"/>
      <c r="F44" s="89"/>
      <c r="G44" s="90"/>
      <c r="H44" s="93" t="s">
        <v>135</v>
      </c>
      <c r="I44" s="94" t="s">
        <v>136</v>
      </c>
      <c r="J44" s="88" t="s">
        <v>137</v>
      </c>
      <c r="K44" s="87" t="s">
        <v>138</v>
      </c>
    </row>
    <row r="45" spans="1:11" x14ac:dyDescent="0.3">
      <c r="B45" s="95"/>
      <c r="C45" s="96"/>
      <c r="D45" s="91"/>
      <c r="E45" s="92"/>
      <c r="F45" s="91"/>
      <c r="G45" s="92"/>
      <c r="H45" s="93"/>
      <c r="I45" s="94"/>
      <c r="J45" s="88"/>
      <c r="K45" s="87"/>
    </row>
    <row r="46" spans="1:11" ht="14.4" customHeight="1" x14ac:dyDescent="0.3">
      <c r="B46" s="95" t="s">
        <v>20</v>
      </c>
      <c r="C46" s="96"/>
      <c r="D46" s="89"/>
      <c r="E46" s="90"/>
      <c r="F46" s="89" t="s">
        <v>135</v>
      </c>
      <c r="G46" s="90"/>
      <c r="H46" s="93"/>
      <c r="I46" s="94"/>
      <c r="J46" s="88"/>
      <c r="K46" s="87"/>
    </row>
    <row r="47" spans="1:11" x14ac:dyDescent="0.3">
      <c r="B47" s="95"/>
      <c r="C47" s="96"/>
      <c r="D47" s="91"/>
      <c r="E47" s="92"/>
      <c r="F47" s="91"/>
      <c r="G47" s="92"/>
      <c r="H47" s="93"/>
      <c r="I47" s="94"/>
      <c r="J47" s="88"/>
      <c r="K47" s="87"/>
    </row>
    <row r="48" spans="1:11" x14ac:dyDescent="0.3">
      <c r="B48" s="95" t="s">
        <v>21</v>
      </c>
      <c r="C48" s="96"/>
      <c r="D48" s="89" t="s">
        <v>135</v>
      </c>
      <c r="E48" s="90"/>
      <c r="F48" s="89"/>
      <c r="G48" s="90"/>
      <c r="H48" s="93"/>
      <c r="I48" s="94"/>
      <c r="J48" s="88"/>
      <c r="K48" s="87"/>
    </row>
    <row r="49" spans="2:11" x14ac:dyDescent="0.3">
      <c r="B49" s="95"/>
      <c r="C49" s="96"/>
      <c r="D49" s="91"/>
      <c r="E49" s="92"/>
      <c r="F49" s="91"/>
      <c r="G49" s="92"/>
      <c r="H49" s="93"/>
      <c r="I49" s="94"/>
      <c r="J49" s="88"/>
      <c r="K49" s="87"/>
    </row>
    <row r="50" spans="2:11" x14ac:dyDescent="0.3">
      <c r="B50" s="95" t="s">
        <v>22</v>
      </c>
      <c r="C50" s="96"/>
      <c r="D50" s="89" t="s">
        <v>135</v>
      </c>
      <c r="E50" s="90"/>
      <c r="F50" s="89"/>
      <c r="G50" s="90"/>
      <c r="H50" s="93"/>
      <c r="I50" s="94"/>
      <c r="J50" s="88"/>
      <c r="K50" s="87"/>
    </row>
    <row r="51" spans="2:11" ht="27.6" customHeight="1" x14ac:dyDescent="0.3">
      <c r="B51" s="95"/>
      <c r="C51" s="96"/>
      <c r="D51" s="91"/>
      <c r="E51" s="92"/>
      <c r="F51" s="91"/>
      <c r="G51" s="92"/>
      <c r="H51" s="93"/>
      <c r="I51" s="94"/>
      <c r="J51" s="88"/>
      <c r="K51" s="87"/>
    </row>
    <row r="52" spans="2:11" x14ac:dyDescent="0.3">
      <c r="B52" s="95" t="s">
        <v>23</v>
      </c>
      <c r="C52" s="96"/>
      <c r="D52" s="89" t="s">
        <v>135</v>
      </c>
      <c r="E52" s="90"/>
      <c r="F52" s="89"/>
      <c r="G52" s="90"/>
      <c r="H52" s="93"/>
      <c r="I52" s="94"/>
      <c r="J52" s="88"/>
      <c r="K52" s="87"/>
    </row>
    <row r="53" spans="2:11" x14ac:dyDescent="0.3">
      <c r="B53" s="95"/>
      <c r="C53" s="96"/>
      <c r="D53" s="91"/>
      <c r="E53" s="92"/>
      <c r="F53" s="91"/>
      <c r="G53" s="92"/>
      <c r="H53" s="93"/>
      <c r="I53" s="94"/>
      <c r="J53" s="88"/>
      <c r="K53" s="87"/>
    </row>
    <row r="54" spans="2:11" x14ac:dyDescent="0.3">
      <c r="B54" s="95" t="s">
        <v>24</v>
      </c>
      <c r="C54" s="96"/>
      <c r="D54" s="89" t="s">
        <v>134</v>
      </c>
      <c r="E54" s="90"/>
      <c r="F54" s="89"/>
      <c r="G54" s="90"/>
      <c r="H54" s="93"/>
      <c r="I54" s="94"/>
      <c r="J54" s="88"/>
      <c r="K54" s="87"/>
    </row>
    <row r="55" spans="2:11" x14ac:dyDescent="0.3">
      <c r="B55" s="95"/>
      <c r="C55" s="96"/>
      <c r="D55" s="91"/>
      <c r="E55" s="92"/>
      <c r="F55" s="91"/>
      <c r="G55" s="92"/>
      <c r="H55" s="93"/>
      <c r="I55" s="94"/>
      <c r="J55" s="88"/>
      <c r="K55" s="87"/>
    </row>
    <row r="56" spans="2:11" x14ac:dyDescent="0.3">
      <c r="B56" s="95" t="s">
        <v>25</v>
      </c>
      <c r="C56" s="96"/>
      <c r="D56" s="89" t="s">
        <v>135</v>
      </c>
      <c r="E56" s="90"/>
      <c r="F56" s="89"/>
      <c r="G56" s="90"/>
      <c r="H56" s="93"/>
      <c r="I56" s="94"/>
      <c r="J56" s="88"/>
      <c r="K56" s="87"/>
    </row>
    <row r="57" spans="2:11" x14ac:dyDescent="0.3">
      <c r="B57" s="95"/>
      <c r="C57" s="96"/>
      <c r="D57" s="91"/>
      <c r="E57" s="92"/>
      <c r="F57" s="91"/>
      <c r="G57" s="92"/>
      <c r="H57" s="93"/>
      <c r="I57" s="94"/>
      <c r="J57" s="88"/>
      <c r="K57" s="87"/>
    </row>
    <row r="58" spans="2:11" x14ac:dyDescent="0.3">
      <c r="B58" s="95" t="s">
        <v>49</v>
      </c>
      <c r="C58" s="96"/>
      <c r="D58" s="89" t="s">
        <v>135</v>
      </c>
      <c r="E58" s="90"/>
      <c r="F58" s="89"/>
      <c r="G58" s="90"/>
      <c r="H58" s="93"/>
      <c r="I58" s="94"/>
      <c r="J58" s="88"/>
      <c r="K58" s="87"/>
    </row>
    <row r="59" spans="2:11" ht="26.4" customHeight="1" x14ac:dyDescent="0.3">
      <c r="B59" s="95"/>
      <c r="C59" s="96"/>
      <c r="D59" s="91"/>
      <c r="E59" s="92"/>
      <c r="F59" s="91"/>
      <c r="G59" s="92"/>
      <c r="H59" s="93"/>
      <c r="I59" s="94"/>
      <c r="J59" s="88"/>
      <c r="K59" s="87"/>
    </row>
    <row r="60" spans="2:11" x14ac:dyDescent="0.3">
      <c r="B60" s="95" t="s">
        <v>26</v>
      </c>
      <c r="C60" s="96"/>
      <c r="D60" s="89" t="s">
        <v>135</v>
      </c>
      <c r="E60" s="90"/>
      <c r="F60" s="89"/>
      <c r="G60" s="90"/>
      <c r="H60" s="93"/>
      <c r="I60" s="94"/>
      <c r="J60" s="88"/>
      <c r="K60" s="87"/>
    </row>
    <row r="61" spans="2:11" ht="15" thickBot="1" x14ac:dyDescent="0.35">
      <c r="B61" s="108"/>
      <c r="C61" s="109"/>
      <c r="D61" s="91"/>
      <c r="E61" s="92"/>
      <c r="F61" s="91"/>
      <c r="G61" s="92"/>
      <c r="H61" s="93"/>
      <c r="I61" s="94"/>
      <c r="J61" s="88"/>
      <c r="K61" s="87"/>
    </row>
    <row r="62" spans="2:11" ht="15" thickBot="1" x14ac:dyDescent="0.35">
      <c r="B62" s="84" t="s">
        <v>5</v>
      </c>
      <c r="C62" s="85"/>
      <c r="D62" s="86">
        <f>(IF(D42="X",0,0))+(IF(D44="X",0,0))+(IF(D46="X",0,0))+(IF(D48="X",0,0))+(IF(D50="X",0,0))+(IF(D52="X",0,0))+(IF(D54="X",0,0))+(IF(D56="X",0,0))+(IF(D58="X",0,0))+(IF(D60="X",0,0))</f>
        <v>0</v>
      </c>
      <c r="E62" s="86"/>
      <c r="F62" s="86">
        <f>((IF(F42="X",1,0))+(IF(F44="X",2,0))+(IF(F46="X",3,0))+(IF(F48="X",4,0))+(IF(F50="X",5,0))+(IF(F52="X",6,0))+(IF(F54="X",7,0))+(IF(F56="X",8,0))+(IF(F58="X",9,0))+(IF(F60="X",10,0)))/10</f>
        <v>0.3</v>
      </c>
      <c r="G62" s="86"/>
      <c r="H62" s="48">
        <f>((IF(H42="X",2,0))+(IF(H44="X",4,0))+(IF(H46="X",6,0))+(IF(H48="X",8,0))+(IF(H50="X",10,0))+(IF(H52="X",12,0))+(IF(H54="X",14,0))+(IF(H56="X",16,0))+(IF(H58="X",18,0))+(IF(H60="X",20,0)))/10</f>
        <v>0.6</v>
      </c>
      <c r="I62" s="49">
        <f>((IF(I42="M",5,IF(I42="S",10,IF(I42="A",15,0))))+(IF(I44="M",5,IF(I44="S",10,IF(I44="A",15,0))))+(IF(I46="M",5,IF(I46="S",10,IF(I46="A",15,0))))+(IF(I48="M",5,IF(I48="S",10,IF(I48="A",15,0))))+(IF(I50="M",5,IF(I50="S",10,IF(I50="A",15,0))))+(IF(I52="M",5,IF(I52="S",10,IF(I52="A",15,0))))+(IF(I54="M",5,IF(I54="S",10,IF(I54="A",15,0))))+(IF(I56="M",5,IF(I56="S",10,IF(I56="A",15,0))))+(IF(I58="M",5,IF(I58="S",10,IF(I58="A",15,0))))+(IF(I60="M",5,IF(I60="S",10,IF(I60="A",15,0)))))/10</f>
        <v>3</v>
      </c>
      <c r="J62" s="50">
        <f>((IF(J42="C",15,IF(J42="M",10,IF(J42="L",5,0))))+(IF(J44="C",15,IF(J44="M",10,IF(J44="L",5,0))))+(IF(J46="C",15,IF(J46="M",10,IF(J46="L",5,0))))+(IF(J48="C",15,IF(J48="M",10,IF(J48="L",5,0))))+(IF(J50="C",15,IF(J50="M",10,IF(J50="L",5,0))))+(IF(J52="C",15,IF(J52="M",10,IF(J52="L",5,0))))+(IF(J54="C",15,IF(J54="M",10,IF(J54="L",5,0))))+(IF(J56="C",15,IF(J56="M",10,IF(J56="L",5,0))))+(IF(J58="C",15,IF(J58="M",10,IF(J58="L",5,0))))+(IF(J60="C",15,IF(J60="M",10,IF(J60="L",5,0)))))/10</f>
        <v>3</v>
      </c>
      <c r="K62" s="51">
        <f>((IF(K42="B",1,IF(K42="M",2,IF(K42="A",3,0))))+(IF(K44="B",4,IF(K44="M",5,IF(K44="A",6,0))))+(IF(K46="B",7,IF(K46="M",8,IF(K46="A",9,0))))+(IF(K48="B",10,IF(K48="M",10,IF(K48="A",11,0))))+(IF(K50="B",12,IF(K50="M",13,IF(K50="A",14,0))))+(IF(K52="B",15,IF(K52="M",16,IF(K52="A",17,0))))+(IF(K54="B",18,IF(K54="M",19,IF(K54="A",20,0))))+(IF(K56="B",21,IF(K56="M",22,IF(K56="A",23,0))))+(IF(K58="B",24,IF(K58="M",25,IF(K58="A",26,0))))+(IF(K60="B",27,IF(K60="M",28,IF(K60="A",29,0)))))/10</f>
        <v>0.7</v>
      </c>
    </row>
    <row r="63" spans="2:11" ht="14.4" customHeight="1" x14ac:dyDescent="0.3">
      <c r="B63" s="198"/>
      <c r="C63" s="198"/>
      <c r="D63" s="198"/>
      <c r="E63" s="198"/>
      <c r="F63" s="198"/>
      <c r="G63" s="198"/>
      <c r="H63" s="198"/>
    </row>
    <row r="64" spans="2:11" x14ac:dyDescent="0.3">
      <c r="B64" s="199"/>
      <c r="C64" s="199"/>
      <c r="D64" s="199"/>
      <c r="E64" s="199"/>
      <c r="F64" s="199"/>
      <c r="G64" s="199"/>
      <c r="H64" s="199"/>
    </row>
    <row r="65" spans="2:11" x14ac:dyDescent="0.3">
      <c r="B65" s="199"/>
      <c r="C65" s="199"/>
      <c r="D65" s="199"/>
      <c r="E65" s="199"/>
      <c r="F65" s="199"/>
      <c r="G65" s="199"/>
      <c r="H65" s="199"/>
    </row>
    <row r="67" spans="2:11" ht="18" x14ac:dyDescent="0.3">
      <c r="B67" s="197" t="s">
        <v>27</v>
      </c>
      <c r="C67" s="197"/>
      <c r="D67" s="197"/>
      <c r="E67" s="197"/>
      <c r="F67" s="197"/>
      <c r="G67" s="197"/>
      <c r="H67" s="197"/>
      <c r="I67" s="197"/>
      <c r="J67" s="197"/>
      <c r="K67" s="197"/>
    </row>
    <row r="69" spans="2:11" x14ac:dyDescent="0.3">
      <c r="B69" s="18" t="s">
        <v>28</v>
      </c>
    </row>
    <row r="70" spans="2:11" x14ac:dyDescent="0.3">
      <c r="B70" s="25" t="s">
        <v>125</v>
      </c>
    </row>
    <row r="71" spans="2:11" ht="10.65" customHeight="1" thickBot="1" x14ac:dyDescent="0.35">
      <c r="B71" s="25"/>
    </row>
    <row r="72" spans="2:11" ht="15" thickBot="1" x14ac:dyDescent="0.35">
      <c r="B72" s="106" t="s">
        <v>34</v>
      </c>
      <c r="C72" s="107"/>
      <c r="D72" s="107"/>
      <c r="E72" s="107"/>
      <c r="F72" s="104" t="s">
        <v>33</v>
      </c>
      <c r="G72" s="105"/>
      <c r="H72" s="52" t="s">
        <v>32</v>
      </c>
      <c r="I72" s="18"/>
    </row>
    <row r="73" spans="2:11" x14ac:dyDescent="0.3">
      <c r="B73" s="99" t="s">
        <v>29</v>
      </c>
      <c r="C73" s="100"/>
      <c r="D73" s="101" t="s">
        <v>30</v>
      </c>
      <c r="E73" s="102"/>
      <c r="F73" s="103" t="s">
        <v>31</v>
      </c>
      <c r="G73" s="100"/>
      <c r="H73" s="3" t="s">
        <v>134</v>
      </c>
    </row>
    <row r="74" spans="2:11" x14ac:dyDescent="0.3">
      <c r="B74" s="112" t="s">
        <v>35</v>
      </c>
      <c r="C74" s="113"/>
      <c r="D74" s="161" t="s">
        <v>39</v>
      </c>
      <c r="E74" s="162"/>
      <c r="F74" s="155" t="s">
        <v>43</v>
      </c>
      <c r="G74" s="113"/>
      <c r="H74" s="4"/>
    </row>
    <row r="75" spans="2:11" ht="32.4" customHeight="1" x14ac:dyDescent="0.3">
      <c r="B75" s="112" t="s">
        <v>36</v>
      </c>
      <c r="C75" s="113"/>
      <c r="D75" s="161" t="s">
        <v>40</v>
      </c>
      <c r="E75" s="162"/>
      <c r="F75" s="156" t="s">
        <v>44</v>
      </c>
      <c r="G75" s="157"/>
      <c r="H75" s="5"/>
    </row>
    <row r="76" spans="2:11" x14ac:dyDescent="0.3">
      <c r="B76" s="112" t="s">
        <v>37</v>
      </c>
      <c r="C76" s="113"/>
      <c r="D76" s="161" t="s">
        <v>41</v>
      </c>
      <c r="E76" s="162"/>
      <c r="F76" s="155" t="s">
        <v>45</v>
      </c>
      <c r="G76" s="113"/>
      <c r="H76" s="4"/>
    </row>
    <row r="77" spans="2:11" ht="15" thickBot="1" x14ac:dyDescent="0.35">
      <c r="B77" s="110" t="s">
        <v>38</v>
      </c>
      <c r="C77" s="111"/>
      <c r="D77" s="163" t="s">
        <v>42</v>
      </c>
      <c r="E77" s="164"/>
      <c r="F77" s="158" t="s">
        <v>46</v>
      </c>
      <c r="G77" s="111"/>
      <c r="H77" s="6"/>
    </row>
    <row r="78" spans="2:11" ht="15" thickBot="1" x14ac:dyDescent="0.35">
      <c r="B78" s="43"/>
      <c r="C78" s="43"/>
      <c r="D78" s="43"/>
      <c r="E78" s="43"/>
      <c r="F78" s="159" t="s">
        <v>5</v>
      </c>
      <c r="G78" s="160"/>
      <c r="H78" s="53">
        <f>(IF(H73="X",5,IF(H74="X",10,IF(H75="X",15,IF(H76="X",20,IF(H77="X",25,0))))))/10</f>
        <v>0.5</v>
      </c>
    </row>
    <row r="80" spans="2:11" x14ac:dyDescent="0.3">
      <c r="B80" s="18" t="s">
        <v>47</v>
      </c>
    </row>
    <row r="81" spans="2:11" ht="14.4" customHeight="1" x14ac:dyDescent="0.3">
      <c r="B81" s="181" t="s">
        <v>126</v>
      </c>
      <c r="C81" s="181"/>
      <c r="D81" s="181"/>
      <c r="E81" s="181"/>
      <c r="F81" s="181"/>
      <c r="G81" s="181"/>
      <c r="H81" s="181"/>
      <c r="I81" s="181"/>
      <c r="J81" s="181"/>
      <c r="K81" s="181"/>
    </row>
    <row r="82" spans="2:11" x14ac:dyDescent="0.3">
      <c r="B82" s="181"/>
      <c r="C82" s="181"/>
      <c r="D82" s="181"/>
      <c r="E82" s="181"/>
      <c r="F82" s="181"/>
      <c r="G82" s="181"/>
      <c r="H82" s="181"/>
      <c r="I82" s="181"/>
      <c r="J82" s="181"/>
      <c r="K82" s="181"/>
    </row>
    <row r="83" spans="2:11" ht="15" thickBot="1" x14ac:dyDescent="0.35"/>
    <row r="84" spans="2:11" ht="15" thickBot="1" x14ac:dyDescent="0.35">
      <c r="B84" s="106" t="s">
        <v>48</v>
      </c>
      <c r="C84" s="107"/>
      <c r="D84" s="107"/>
      <c r="E84" s="52" t="s">
        <v>32</v>
      </c>
    </row>
    <row r="85" spans="2:11" x14ac:dyDescent="0.3">
      <c r="B85" s="182" t="s">
        <v>77</v>
      </c>
      <c r="C85" s="183"/>
      <c r="D85" s="184"/>
      <c r="E85" s="7"/>
    </row>
    <row r="86" spans="2:11" x14ac:dyDescent="0.3">
      <c r="B86" s="178" t="s">
        <v>78</v>
      </c>
      <c r="C86" s="179"/>
      <c r="D86" s="180"/>
      <c r="E86" s="8" t="s">
        <v>135</v>
      </c>
    </row>
    <row r="87" spans="2:11" x14ac:dyDescent="0.3">
      <c r="B87" s="178" t="s">
        <v>79</v>
      </c>
      <c r="C87" s="179"/>
      <c r="D87" s="180"/>
      <c r="E87" s="8"/>
    </row>
    <row r="88" spans="2:11" ht="15" thickBot="1" x14ac:dyDescent="0.35">
      <c r="B88" s="172" t="s">
        <v>80</v>
      </c>
      <c r="C88" s="173"/>
      <c r="D88" s="174"/>
      <c r="E88" s="9"/>
    </row>
    <row r="89" spans="2:11" ht="15" thickBot="1" x14ac:dyDescent="0.35">
      <c r="B89" s="175" t="s">
        <v>5</v>
      </c>
      <c r="C89" s="176"/>
      <c r="D89" s="177"/>
      <c r="E89" s="54">
        <f>(IF(E85="X",10,IF(E86="X",20,IF(E87="X",30,IF(E88="X",40,0)))))/10</f>
        <v>2</v>
      </c>
    </row>
    <row r="90" spans="2:11" x14ac:dyDescent="0.3">
      <c r="H90" s="42"/>
    </row>
    <row r="92" spans="2:11" x14ac:dyDescent="0.3">
      <c r="B92" s="18"/>
    </row>
    <row r="93" spans="2:11" x14ac:dyDescent="0.3">
      <c r="B93" s="25"/>
    </row>
    <row r="94" spans="2:11" ht="15" thickBot="1" x14ac:dyDescent="0.35"/>
    <row r="95" spans="2:11" ht="15" thickBot="1" x14ac:dyDescent="0.35">
      <c r="B95" s="206"/>
      <c r="C95" s="207"/>
      <c r="D95" s="207"/>
      <c r="E95" s="207"/>
      <c r="F95" s="207"/>
      <c r="G95" s="207"/>
      <c r="H95" s="208"/>
      <c r="I95" s="55" t="s">
        <v>32</v>
      </c>
    </row>
    <row r="96" spans="2:11" ht="26.4" customHeight="1" x14ac:dyDescent="0.3">
      <c r="B96" s="213" t="s">
        <v>50</v>
      </c>
      <c r="C96" s="214"/>
      <c r="D96" s="170" t="s">
        <v>54</v>
      </c>
      <c r="E96" s="170"/>
      <c r="F96" s="170"/>
      <c r="G96" s="170"/>
      <c r="H96" s="171"/>
      <c r="I96" s="7" t="s">
        <v>134</v>
      </c>
    </row>
    <row r="97" spans="2:11" ht="25.65" customHeight="1" x14ac:dyDescent="0.3">
      <c r="B97" s="211" t="s">
        <v>51</v>
      </c>
      <c r="C97" s="212"/>
      <c r="D97" s="168" t="s">
        <v>55</v>
      </c>
      <c r="E97" s="168"/>
      <c r="F97" s="168"/>
      <c r="G97" s="168"/>
      <c r="H97" s="169"/>
      <c r="I97" s="8"/>
    </row>
    <row r="98" spans="2:11" ht="27.6" customHeight="1" x14ac:dyDescent="0.3">
      <c r="B98" s="211" t="s">
        <v>52</v>
      </c>
      <c r="C98" s="212"/>
      <c r="D98" s="165" t="s">
        <v>56</v>
      </c>
      <c r="E98" s="166"/>
      <c r="F98" s="166"/>
      <c r="G98" s="166"/>
      <c r="H98" s="167"/>
      <c r="I98" s="8"/>
    </row>
    <row r="99" spans="2:11" ht="20.399999999999999" customHeight="1" thickBot="1" x14ac:dyDescent="0.35">
      <c r="B99" s="209" t="s">
        <v>53</v>
      </c>
      <c r="C99" s="210"/>
      <c r="D99" s="215" t="s">
        <v>57</v>
      </c>
      <c r="E99" s="216"/>
      <c r="F99" s="216"/>
      <c r="G99" s="216"/>
      <c r="H99" s="217"/>
      <c r="I99" s="9"/>
    </row>
    <row r="100" spans="2:11" ht="15" thickBot="1" x14ac:dyDescent="0.35">
      <c r="B100" s="43"/>
      <c r="C100" s="43"/>
      <c r="D100" s="43"/>
      <c r="E100" s="43"/>
      <c r="F100" s="43"/>
      <c r="G100" s="43"/>
      <c r="H100" s="56" t="s">
        <v>5</v>
      </c>
      <c r="I100" s="79">
        <f>(IF(I96="X",10,IF(I97="X",20,IF(I98="X",30,IF(I99="X",40,0)))))/10</f>
        <v>1</v>
      </c>
    </row>
    <row r="103" spans="2:11" ht="21" x14ac:dyDescent="0.3">
      <c r="B103" s="192" t="s">
        <v>58</v>
      </c>
      <c r="C103" s="192"/>
      <c r="D103" s="192"/>
      <c r="E103" s="192"/>
      <c r="F103" s="192"/>
      <c r="G103" s="192"/>
      <c r="H103" s="192"/>
      <c r="I103" s="192"/>
      <c r="J103" s="192"/>
      <c r="K103" s="192"/>
    </row>
    <row r="104" spans="2:11" x14ac:dyDescent="0.3">
      <c r="B104" s="18" t="s">
        <v>90</v>
      </c>
    </row>
    <row r="105" spans="2:11" ht="9" customHeight="1" x14ac:dyDescent="0.3"/>
    <row r="106" spans="2:11" ht="14.4" customHeight="1" x14ac:dyDescent="0.3">
      <c r="B106" s="114" t="s">
        <v>108</v>
      </c>
      <c r="C106" s="115"/>
      <c r="D106" s="115"/>
      <c r="E106" s="115"/>
      <c r="F106" s="116"/>
      <c r="H106" s="114" t="s">
        <v>109</v>
      </c>
      <c r="I106" s="115"/>
      <c r="J106" s="115"/>
      <c r="K106" s="116"/>
    </row>
    <row r="107" spans="2:11" x14ac:dyDescent="0.3">
      <c r="B107" s="117"/>
      <c r="C107" s="118"/>
      <c r="D107" s="118"/>
      <c r="E107" s="118"/>
      <c r="F107" s="119"/>
      <c r="H107" s="117"/>
      <c r="I107" s="118"/>
      <c r="J107" s="118"/>
      <c r="K107" s="119"/>
    </row>
    <row r="108" spans="2:11" x14ac:dyDescent="0.3">
      <c r="B108" s="220" t="s">
        <v>110</v>
      </c>
      <c r="C108" s="224"/>
      <c r="D108" s="221"/>
      <c r="E108" s="10"/>
      <c r="F108" s="57"/>
      <c r="H108" s="76" t="s">
        <v>110</v>
      </c>
      <c r="I108" s="24"/>
      <c r="J108" s="1"/>
      <c r="K108" s="21"/>
    </row>
    <row r="109" spans="2:11" x14ac:dyDescent="0.3">
      <c r="B109" s="227" t="s">
        <v>111</v>
      </c>
      <c r="C109" s="228"/>
      <c r="D109" s="228"/>
      <c r="E109" s="2"/>
      <c r="F109" s="57"/>
      <c r="H109" s="76" t="s">
        <v>111</v>
      </c>
      <c r="I109" s="24"/>
      <c r="J109" s="2"/>
      <c r="K109" s="23"/>
    </row>
    <row r="110" spans="2:11" x14ac:dyDescent="0.3">
      <c r="B110" s="225" t="s">
        <v>112</v>
      </c>
      <c r="C110" s="226"/>
      <c r="D110" s="226"/>
      <c r="E110" s="2" t="s">
        <v>135</v>
      </c>
      <c r="F110" s="57"/>
      <c r="H110" s="76" t="s">
        <v>112</v>
      </c>
      <c r="I110" s="24"/>
      <c r="J110" s="1" t="s">
        <v>135</v>
      </c>
      <c r="K110" s="21"/>
    </row>
    <row r="111" spans="2:11" x14ac:dyDescent="0.3">
      <c r="B111" s="225" t="s">
        <v>113</v>
      </c>
      <c r="C111" s="226"/>
      <c r="D111" s="226"/>
      <c r="E111" s="2"/>
      <c r="F111" s="57"/>
      <c r="H111" s="76" t="s">
        <v>113</v>
      </c>
      <c r="I111" s="24"/>
      <c r="J111" s="1"/>
      <c r="K111" s="21"/>
    </row>
    <row r="112" spans="2:11" x14ac:dyDescent="0.3">
      <c r="B112" s="26"/>
      <c r="C112" s="43"/>
      <c r="D112" s="28" t="s">
        <v>6</v>
      </c>
      <c r="E112" s="58">
        <f>(IF(E108="X",10,IF(E109="X",20,IF(E110="X",30,IF(E111="X",40,0)))))/10</f>
        <v>3</v>
      </c>
      <c r="F112" s="57"/>
      <c r="H112" s="26"/>
      <c r="I112" s="59" t="s">
        <v>6</v>
      </c>
      <c r="J112" s="58">
        <f>(IF(J108="X",40,IF(J109="X",30,IF(J110="X",20,IF(J111="X",10,0)))))/10</f>
        <v>2</v>
      </c>
      <c r="K112" s="23"/>
    </row>
    <row r="113" spans="2:12" x14ac:dyDescent="0.3">
      <c r="B113" s="31"/>
      <c r="C113" s="32"/>
      <c r="D113" s="32"/>
      <c r="E113" s="32"/>
      <c r="F113" s="34"/>
      <c r="H113" s="31"/>
      <c r="I113" s="32"/>
      <c r="J113" s="32"/>
      <c r="K113" s="34"/>
    </row>
    <row r="115" spans="2:12" ht="14.4" customHeight="1" x14ac:dyDescent="0.3">
      <c r="B115" s="114" t="s">
        <v>114</v>
      </c>
      <c r="C115" s="115"/>
      <c r="D115" s="115"/>
      <c r="E115" s="115"/>
      <c r="F115" s="116"/>
      <c r="H115" s="200" t="s">
        <v>59</v>
      </c>
      <c r="I115" s="201"/>
      <c r="J115" s="201"/>
      <c r="K115" s="202"/>
      <c r="L115" s="118"/>
    </row>
    <row r="116" spans="2:12" x14ac:dyDescent="0.3">
      <c r="B116" s="117"/>
      <c r="C116" s="118"/>
      <c r="D116" s="118"/>
      <c r="E116" s="118"/>
      <c r="F116" s="119"/>
      <c r="H116" s="203"/>
      <c r="I116" s="204"/>
      <c r="J116" s="204"/>
      <c r="K116" s="205"/>
      <c r="L116" s="118"/>
    </row>
    <row r="117" spans="2:12" ht="33" customHeight="1" x14ac:dyDescent="0.3">
      <c r="B117" s="229" t="s">
        <v>110</v>
      </c>
      <c r="C117" s="230"/>
      <c r="D117" s="231"/>
      <c r="E117" s="10"/>
      <c r="F117" s="60"/>
      <c r="H117" s="220" t="s">
        <v>115</v>
      </c>
      <c r="I117" s="221"/>
      <c r="J117" s="10"/>
      <c r="K117" s="60"/>
    </row>
    <row r="118" spans="2:12" ht="31.65" customHeight="1" x14ac:dyDescent="0.3">
      <c r="B118" s="232" t="s">
        <v>111</v>
      </c>
      <c r="C118" s="233"/>
      <c r="D118" s="233"/>
      <c r="E118" s="2"/>
      <c r="F118" s="60"/>
      <c r="H118" s="220" t="s">
        <v>116</v>
      </c>
      <c r="I118" s="221"/>
      <c r="J118" s="2"/>
      <c r="K118" s="60"/>
    </row>
    <row r="119" spans="2:12" x14ac:dyDescent="0.3">
      <c r="B119" s="234" t="s">
        <v>112</v>
      </c>
      <c r="C119" s="235"/>
      <c r="D119" s="235"/>
      <c r="E119" s="2" t="s">
        <v>135</v>
      </c>
      <c r="F119" s="60"/>
      <c r="H119" s="76" t="s">
        <v>117</v>
      </c>
      <c r="I119" s="77"/>
      <c r="J119" s="2" t="s">
        <v>135</v>
      </c>
      <c r="K119" s="60"/>
    </row>
    <row r="120" spans="2:12" x14ac:dyDescent="0.3">
      <c r="B120" s="234" t="s">
        <v>113</v>
      </c>
      <c r="C120" s="235"/>
      <c r="D120" s="235"/>
      <c r="E120" s="2"/>
      <c r="F120" s="60"/>
      <c r="H120" s="26"/>
      <c r="I120" s="28" t="s">
        <v>6</v>
      </c>
      <c r="J120" s="58">
        <f>(IF(J117="X",40,IF(J118="X",30,IF(J119="X",20,0))))/10</f>
        <v>2</v>
      </c>
      <c r="K120" s="60"/>
    </row>
    <row r="121" spans="2:12" x14ac:dyDescent="0.3">
      <c r="B121" s="26"/>
      <c r="C121" s="78"/>
      <c r="D121" s="28" t="s">
        <v>6</v>
      </c>
      <c r="E121" s="58">
        <f>(IF(E117="X",40,IF(E118="X",30,IF(E119="X",20,IF(E120="X",10,0)))))/10</f>
        <v>2</v>
      </c>
      <c r="F121" s="60"/>
      <c r="H121" s="26"/>
      <c r="K121" s="60"/>
    </row>
    <row r="122" spans="2:12" x14ac:dyDescent="0.3">
      <c r="B122" s="31"/>
      <c r="C122" s="32"/>
      <c r="D122" s="32"/>
      <c r="E122" s="32"/>
      <c r="F122" s="34"/>
      <c r="H122" s="31"/>
      <c r="I122" s="32"/>
      <c r="J122" s="32"/>
      <c r="K122" s="34"/>
    </row>
    <row r="124" spans="2:12" ht="21" x14ac:dyDescent="0.3">
      <c r="C124" s="72" t="s">
        <v>60</v>
      </c>
      <c r="D124" s="73"/>
      <c r="E124" s="73"/>
      <c r="F124" s="73"/>
      <c r="G124" s="73"/>
      <c r="H124" s="73"/>
      <c r="I124" s="73"/>
      <c r="J124" s="73"/>
      <c r="K124" s="73"/>
    </row>
    <row r="125" spans="2:12" ht="7.65" customHeight="1" x14ac:dyDescent="0.3">
      <c r="C125" s="61"/>
      <c r="D125" s="61"/>
      <c r="E125" s="61"/>
      <c r="F125" s="61"/>
      <c r="G125" s="61"/>
      <c r="H125" s="61"/>
      <c r="I125" s="61"/>
      <c r="J125" s="61"/>
      <c r="K125" s="61"/>
    </row>
    <row r="126" spans="2:12" x14ac:dyDescent="0.3">
      <c r="C126" s="223" t="s">
        <v>69</v>
      </c>
      <c r="D126" s="223"/>
      <c r="E126" s="223"/>
      <c r="F126" s="223"/>
      <c r="J126" s="62" t="s">
        <v>61</v>
      </c>
      <c r="K126" s="63">
        <f>E121+J112+E112+I100+E89+H78+K62+J62+I62+H62+F62+D62+D31+I29+I22+D21+J120</f>
        <v>29.6</v>
      </c>
    </row>
    <row r="127" spans="2:12" x14ac:dyDescent="0.3">
      <c r="C127" s="218" t="s">
        <v>70</v>
      </c>
      <c r="D127" s="219"/>
      <c r="E127" s="222" t="s">
        <v>71</v>
      </c>
      <c r="F127" s="222"/>
      <c r="J127" s="62" t="s">
        <v>62</v>
      </c>
      <c r="K127" s="64" t="str">
        <f>IF(K126&lt;=15,"P1",IF(AND(K126&gt;=16,K126&lt;=36),"P2",IF(AND(K126&gt;=37,K126&lt;=57),"P3",IF(AND(K126&gt;=58,K126&lt;=77),"P4",IF(AND(K126&gt;=78,K126&lt;=98),"P5",0)))))</f>
        <v>P2</v>
      </c>
    </row>
    <row r="128" spans="2:12" x14ac:dyDescent="0.3">
      <c r="C128" s="187" t="s">
        <v>81</v>
      </c>
      <c r="D128" s="156"/>
      <c r="E128" s="168" t="s">
        <v>72</v>
      </c>
      <c r="F128" s="168"/>
    </row>
    <row r="129" spans="3:15" x14ac:dyDescent="0.3">
      <c r="C129" s="187" t="s">
        <v>130</v>
      </c>
      <c r="D129" s="156"/>
      <c r="E129" s="168" t="s">
        <v>73</v>
      </c>
      <c r="F129" s="168"/>
    </row>
    <row r="130" spans="3:15" x14ac:dyDescent="0.3">
      <c r="C130" s="187" t="s">
        <v>131</v>
      </c>
      <c r="D130" s="156"/>
      <c r="E130" s="168" t="s">
        <v>74</v>
      </c>
      <c r="F130" s="168"/>
    </row>
    <row r="131" spans="3:15" x14ac:dyDescent="0.3">
      <c r="C131" s="187" t="s">
        <v>132</v>
      </c>
      <c r="D131" s="156"/>
      <c r="E131" s="168" t="s">
        <v>75</v>
      </c>
      <c r="F131" s="168"/>
    </row>
    <row r="132" spans="3:15" x14ac:dyDescent="0.3">
      <c r="C132" s="187" t="s">
        <v>133</v>
      </c>
      <c r="D132" s="156"/>
      <c r="E132" s="168" t="s">
        <v>76</v>
      </c>
      <c r="F132" s="168"/>
    </row>
    <row r="133" spans="3:15" x14ac:dyDescent="0.3">
      <c r="O133" s="80"/>
    </row>
    <row r="134" spans="3:15" ht="14.4" customHeight="1" x14ac:dyDescent="0.3">
      <c r="C134" s="11" t="s">
        <v>134</v>
      </c>
      <c r="D134" s="66" t="s">
        <v>63</v>
      </c>
      <c r="E134" s="66"/>
      <c r="F134" s="66"/>
      <c r="G134" s="66"/>
      <c r="H134" s="66"/>
      <c r="I134" s="66"/>
    </row>
    <row r="135" spans="3:15" ht="8.4" customHeight="1" x14ac:dyDescent="0.3">
      <c r="D135" s="66"/>
      <c r="E135" s="66"/>
      <c r="F135" s="66"/>
      <c r="G135" s="66"/>
      <c r="H135" s="66"/>
      <c r="I135" s="66"/>
      <c r="J135" s="70"/>
      <c r="K135" s="70"/>
    </row>
    <row r="136" spans="3:15" ht="14.4" customHeight="1" x14ac:dyDescent="0.3">
      <c r="C136" s="11" t="s">
        <v>134</v>
      </c>
      <c r="D136" s="120" t="s">
        <v>127</v>
      </c>
      <c r="E136" s="120"/>
      <c r="F136" s="120"/>
      <c r="G136" s="120"/>
      <c r="H136" s="120"/>
      <c r="I136" s="120"/>
      <c r="J136" s="120"/>
      <c r="K136" s="120"/>
    </row>
    <row r="137" spans="3:15" x14ac:dyDescent="0.3">
      <c r="D137" s="120"/>
      <c r="E137" s="120"/>
      <c r="F137" s="120"/>
      <c r="G137" s="120"/>
      <c r="H137" s="120"/>
      <c r="I137" s="120"/>
      <c r="J137" s="120"/>
      <c r="K137" s="120"/>
    </row>
    <row r="138" spans="3:15" x14ac:dyDescent="0.3">
      <c r="J138" s="67"/>
      <c r="K138" s="67"/>
    </row>
    <row r="139" spans="3:15" ht="14.4" customHeight="1" x14ac:dyDescent="0.3">
      <c r="C139" s="185" t="s">
        <v>128</v>
      </c>
      <c r="D139" s="185"/>
      <c r="E139" s="185"/>
      <c r="F139" s="185"/>
      <c r="G139" s="185"/>
      <c r="H139" s="185"/>
      <c r="I139" s="185"/>
      <c r="J139" s="185"/>
      <c r="K139" s="185"/>
      <c r="L139" s="65"/>
      <c r="M139" s="65"/>
    </row>
    <row r="140" spans="3:15" x14ac:dyDescent="0.3">
      <c r="C140" s="185"/>
      <c r="D140" s="185"/>
      <c r="E140" s="185"/>
      <c r="F140" s="185"/>
      <c r="G140" s="185"/>
      <c r="H140" s="185"/>
      <c r="I140" s="185"/>
      <c r="J140" s="185"/>
      <c r="K140" s="185"/>
      <c r="L140" s="65"/>
      <c r="M140" s="65"/>
    </row>
    <row r="141" spans="3:15" x14ac:dyDescent="0.3">
      <c r="C141" s="185"/>
      <c r="D141" s="185"/>
      <c r="E141" s="185"/>
      <c r="F141" s="185"/>
      <c r="G141" s="185"/>
      <c r="H141" s="185"/>
      <c r="I141" s="185"/>
      <c r="J141" s="185"/>
      <c r="K141" s="185"/>
      <c r="L141" s="71"/>
      <c r="M141" s="65"/>
    </row>
    <row r="142" spans="3:15" x14ac:dyDescent="0.3">
      <c r="C142" s="185"/>
      <c r="D142" s="185"/>
      <c r="E142" s="185"/>
      <c r="F142" s="185"/>
      <c r="G142" s="185"/>
      <c r="H142" s="185"/>
      <c r="I142" s="185"/>
      <c r="J142" s="185"/>
      <c r="K142" s="185"/>
      <c r="L142" s="71"/>
      <c r="M142" s="65"/>
    </row>
    <row r="143" spans="3:15" ht="14.4" customHeight="1" x14ac:dyDescent="0.3">
      <c r="C143" s="185"/>
      <c r="D143" s="185"/>
      <c r="E143" s="185"/>
      <c r="F143" s="185"/>
      <c r="G143" s="185"/>
      <c r="H143" s="185"/>
      <c r="I143" s="185"/>
      <c r="J143" s="185"/>
      <c r="K143" s="185"/>
    </row>
    <row r="144" spans="3:15" ht="6.6" customHeight="1" x14ac:dyDescent="0.3">
      <c r="C144" s="67"/>
      <c r="D144" s="67"/>
      <c r="E144" s="67"/>
      <c r="F144" s="67"/>
      <c r="G144" s="67"/>
      <c r="H144" s="67"/>
      <c r="I144" s="67"/>
      <c r="J144" s="15"/>
    </row>
    <row r="145" spans="3:12" ht="15.6" x14ac:dyDescent="0.3">
      <c r="C145" s="194" t="s">
        <v>64</v>
      </c>
      <c r="D145" s="195"/>
      <c r="E145" s="195"/>
      <c r="F145" s="195"/>
      <c r="G145" s="195"/>
      <c r="H145" s="195"/>
      <c r="I145" s="195"/>
      <c r="J145" s="195"/>
      <c r="K145" s="196"/>
      <c r="L145" s="67"/>
    </row>
    <row r="146" spans="3:12" ht="15.6" x14ac:dyDescent="0.3">
      <c r="C146" s="68" t="s">
        <v>118</v>
      </c>
      <c r="D146" s="188" t="s">
        <v>142</v>
      </c>
      <c r="E146" s="189"/>
      <c r="F146" s="189"/>
      <c r="G146" s="189"/>
      <c r="H146" s="189"/>
      <c r="I146" s="189"/>
      <c r="J146" s="189"/>
      <c r="K146" s="190"/>
      <c r="L146" s="67"/>
    </row>
    <row r="147" spans="3:12" ht="15.6" x14ac:dyDescent="0.3">
      <c r="C147" s="68" t="s">
        <v>119</v>
      </c>
      <c r="D147" s="191">
        <v>43557</v>
      </c>
      <c r="E147" s="189"/>
      <c r="F147" s="189"/>
      <c r="G147" s="189"/>
      <c r="H147" s="189"/>
      <c r="I147" s="189"/>
      <c r="J147" s="189"/>
      <c r="K147" s="190"/>
      <c r="L147" s="67"/>
    </row>
    <row r="148" spans="3:12" ht="15.6" x14ac:dyDescent="0.3">
      <c r="C148" s="68" t="s">
        <v>120</v>
      </c>
      <c r="D148" s="188" t="s">
        <v>143</v>
      </c>
      <c r="E148" s="189"/>
      <c r="F148" s="189"/>
      <c r="G148" s="189"/>
      <c r="H148" s="189"/>
      <c r="I148" s="189"/>
      <c r="J148" s="189"/>
      <c r="K148" s="190"/>
      <c r="L148" s="67"/>
    </row>
    <row r="150" spans="3:12" ht="15.6" x14ac:dyDescent="0.3">
      <c r="C150" s="68" t="s">
        <v>65</v>
      </c>
      <c r="D150" s="188">
        <v>32017</v>
      </c>
      <c r="E150" s="189"/>
      <c r="F150" s="189"/>
      <c r="G150" s="189"/>
      <c r="H150" s="189"/>
      <c r="I150" s="189"/>
      <c r="J150" s="189"/>
      <c r="K150" s="190"/>
      <c r="L150" s="67"/>
    </row>
    <row r="151" spans="3:12" ht="15.6" x14ac:dyDescent="0.3">
      <c r="C151" s="68" t="s">
        <v>121</v>
      </c>
      <c r="D151" s="193">
        <v>46031</v>
      </c>
      <c r="E151" s="189"/>
      <c r="F151" s="189"/>
      <c r="G151" s="189"/>
      <c r="H151" s="189"/>
      <c r="I151" s="189"/>
      <c r="J151" s="189"/>
      <c r="K151" s="190"/>
      <c r="L151" s="67"/>
    </row>
    <row r="152" spans="3:12" ht="15.6" x14ac:dyDescent="0.3">
      <c r="C152" s="68" t="s">
        <v>66</v>
      </c>
      <c r="D152" s="188" t="s">
        <v>144</v>
      </c>
      <c r="E152" s="189"/>
      <c r="F152" s="189"/>
      <c r="G152" s="189"/>
      <c r="H152" s="189"/>
      <c r="I152" s="189"/>
      <c r="J152" s="189"/>
      <c r="K152" s="190"/>
    </row>
    <row r="155" spans="3:12" ht="15.6" x14ac:dyDescent="0.3">
      <c r="D155" s="69"/>
      <c r="E155" s="69"/>
      <c r="I155" s="69"/>
      <c r="J155" s="69"/>
    </row>
    <row r="156" spans="3:12" ht="15.6" customHeight="1" x14ac:dyDescent="0.3">
      <c r="D156" s="186" t="s">
        <v>67</v>
      </c>
      <c r="E156" s="186"/>
      <c r="I156" s="186" t="s">
        <v>68</v>
      </c>
      <c r="J156" s="186"/>
    </row>
    <row r="161" ht="14.4" customHeight="1" x14ac:dyDescent="0.3"/>
    <row r="162" ht="31.35" customHeight="1" x14ac:dyDescent="0.3"/>
  </sheetData>
  <sheetProtection algorithmName="SHA-512" hashValue="zBLUGpoMgXZ0p1GCzDnNgPbFT3cUeTE9OAzYTPPUFBZn5UgaG+tSUCAJlePFFZ8MHKf2tmyRn2Ydg87vtpBuUw==" saltValue="gvDurxIDVn6hP2omZYUA5A==" spinCount="100000" sheet="1" objects="1" scenarios="1"/>
  <mergeCells count="169">
    <mergeCell ref="L115:L116"/>
    <mergeCell ref="H117:I117"/>
    <mergeCell ref="H118:I118"/>
    <mergeCell ref="E127:F127"/>
    <mergeCell ref="C126:F126"/>
    <mergeCell ref="B108:D108"/>
    <mergeCell ref="B111:D111"/>
    <mergeCell ref="B110:D110"/>
    <mergeCell ref="B109:D109"/>
    <mergeCell ref="B117:D117"/>
    <mergeCell ref="B118:D118"/>
    <mergeCell ref="B119:D119"/>
    <mergeCell ref="B120:D120"/>
    <mergeCell ref="B106:F107"/>
    <mergeCell ref="B103:K103"/>
    <mergeCell ref="D152:K152"/>
    <mergeCell ref="D151:K151"/>
    <mergeCell ref="D150:K150"/>
    <mergeCell ref="D146:K146"/>
    <mergeCell ref="C145:K145"/>
    <mergeCell ref="B67:K67"/>
    <mergeCell ref="B63:H65"/>
    <mergeCell ref="H115:K116"/>
    <mergeCell ref="H106:K107"/>
    <mergeCell ref="B95:H95"/>
    <mergeCell ref="B99:C99"/>
    <mergeCell ref="B98:C98"/>
    <mergeCell ref="B97:C97"/>
    <mergeCell ref="B96:C96"/>
    <mergeCell ref="D99:H99"/>
    <mergeCell ref="C127:D127"/>
    <mergeCell ref="E132:F132"/>
    <mergeCell ref="E131:F131"/>
    <mergeCell ref="E130:F130"/>
    <mergeCell ref="E129:F129"/>
    <mergeCell ref="E128:F128"/>
    <mergeCell ref="B115:F116"/>
    <mergeCell ref="C139:K143"/>
    <mergeCell ref="D136:K137"/>
    <mergeCell ref="D156:E156"/>
    <mergeCell ref="I156:J156"/>
    <mergeCell ref="C132:D132"/>
    <mergeCell ref="C131:D131"/>
    <mergeCell ref="C130:D130"/>
    <mergeCell ref="C129:D129"/>
    <mergeCell ref="C128:D128"/>
    <mergeCell ref="D148:K148"/>
    <mergeCell ref="D147:K147"/>
    <mergeCell ref="D98:H98"/>
    <mergeCell ref="D97:H97"/>
    <mergeCell ref="D96:H96"/>
    <mergeCell ref="B88:D88"/>
    <mergeCell ref="B89:D89"/>
    <mergeCell ref="B87:D87"/>
    <mergeCell ref="B81:K82"/>
    <mergeCell ref="B86:D86"/>
    <mergeCell ref="B85:D85"/>
    <mergeCell ref="B84:D84"/>
    <mergeCell ref="F74:G74"/>
    <mergeCell ref="F75:G75"/>
    <mergeCell ref="F76:G76"/>
    <mergeCell ref="F77:G77"/>
    <mergeCell ref="F78:G78"/>
    <mergeCell ref="D74:E74"/>
    <mergeCell ref="D77:E77"/>
    <mergeCell ref="D76:E76"/>
    <mergeCell ref="D75:E75"/>
    <mergeCell ref="B77:C77"/>
    <mergeCell ref="B76:C76"/>
    <mergeCell ref="B75:C75"/>
    <mergeCell ref="B74:C74"/>
    <mergeCell ref="B15:E16"/>
    <mergeCell ref="G15:J16"/>
    <mergeCell ref="B7:K11"/>
    <mergeCell ref="J42:J43"/>
    <mergeCell ref="B25:E26"/>
    <mergeCell ref="G25:J26"/>
    <mergeCell ref="G30:J33"/>
    <mergeCell ref="B35:J35"/>
    <mergeCell ref="H38:H41"/>
    <mergeCell ref="F38:G41"/>
    <mergeCell ref="D38:E41"/>
    <mergeCell ref="B38:C41"/>
    <mergeCell ref="J40:J41"/>
    <mergeCell ref="I40:I41"/>
    <mergeCell ref="B42:C43"/>
    <mergeCell ref="I38:K38"/>
    <mergeCell ref="K42:K43"/>
    <mergeCell ref="K52:K53"/>
    <mergeCell ref="I56:I57"/>
    <mergeCell ref="I58:I59"/>
    <mergeCell ref="B73:C73"/>
    <mergeCell ref="D73:E73"/>
    <mergeCell ref="F73:G73"/>
    <mergeCell ref="F72:G72"/>
    <mergeCell ref="B72:E72"/>
    <mergeCell ref="D62:E62"/>
    <mergeCell ref="B58:C59"/>
    <mergeCell ref="B60:C61"/>
    <mergeCell ref="B54:C55"/>
    <mergeCell ref="H56:H57"/>
    <mergeCell ref="D58:E59"/>
    <mergeCell ref="F58:G59"/>
    <mergeCell ref="H58:H59"/>
    <mergeCell ref="D54:E55"/>
    <mergeCell ref="I46:I47"/>
    <mergeCell ref="I48:I49"/>
    <mergeCell ref="I50:I51"/>
    <mergeCell ref="H48:H49"/>
    <mergeCell ref="F56:G57"/>
    <mergeCell ref="F54:G55"/>
    <mergeCell ref="D44:E45"/>
    <mergeCell ref="D42:E43"/>
    <mergeCell ref="I42:I43"/>
    <mergeCell ref="J52:J53"/>
    <mergeCell ref="B44:C45"/>
    <mergeCell ref="J44:J45"/>
    <mergeCell ref="D50:E51"/>
    <mergeCell ref="F50:G51"/>
    <mergeCell ref="D46:E47"/>
    <mergeCell ref="F46:G47"/>
    <mergeCell ref="H46:H47"/>
    <mergeCell ref="D48:E49"/>
    <mergeCell ref="F48:G49"/>
    <mergeCell ref="B46:C47"/>
    <mergeCell ref="B48:C49"/>
    <mergeCell ref="B50:C51"/>
    <mergeCell ref="B52:C53"/>
    <mergeCell ref="D52:E53"/>
    <mergeCell ref="I44:I45"/>
    <mergeCell ref="H44:H45"/>
    <mergeCell ref="F42:G43"/>
    <mergeCell ref="F52:G53"/>
    <mergeCell ref="K40:K41"/>
    <mergeCell ref="H42:H43"/>
    <mergeCell ref="I52:I53"/>
    <mergeCell ref="I54:I55"/>
    <mergeCell ref="K46:K47"/>
    <mergeCell ref="J48:J49"/>
    <mergeCell ref="K48:K49"/>
    <mergeCell ref="J50:J51"/>
    <mergeCell ref="K50:K51"/>
    <mergeCell ref="J46:J47"/>
    <mergeCell ref="H50:H51"/>
    <mergeCell ref="H52:H53"/>
    <mergeCell ref="B2:K2"/>
    <mergeCell ref="B3:K3"/>
    <mergeCell ref="B4:K4"/>
    <mergeCell ref="B5:K5"/>
    <mergeCell ref="B36:K36"/>
    <mergeCell ref="B62:C62"/>
    <mergeCell ref="F62:G62"/>
    <mergeCell ref="K54:K55"/>
    <mergeCell ref="J56:J57"/>
    <mergeCell ref="K56:K57"/>
    <mergeCell ref="J58:J59"/>
    <mergeCell ref="K58:K59"/>
    <mergeCell ref="J60:J61"/>
    <mergeCell ref="K60:K61"/>
    <mergeCell ref="D60:E61"/>
    <mergeCell ref="F60:G61"/>
    <mergeCell ref="H60:H61"/>
    <mergeCell ref="D56:E57"/>
    <mergeCell ref="I60:I61"/>
    <mergeCell ref="J54:J55"/>
    <mergeCell ref="H54:H55"/>
    <mergeCell ref="B56:C57"/>
    <mergeCell ref="K44:K45"/>
    <mergeCell ref="F44:G45"/>
  </mergeCells>
  <phoneticPr fontId="9" type="noConversion"/>
  <pageMargins left="0.70866141732283472" right="0.70866141732283472" top="0.74803149606299213" bottom="0.74803149606299213" header="0.31496062992125984" footer="0.31496062992125984"/>
  <pageSetup scale="54" fitToWidth="2" fitToHeight="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Hoja1</vt:lpstr>
      <vt:lpstr>Hoja1!Área_de_impresión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FINAR ASESORES</dc:creator>
  <cp:lastModifiedBy>JUAN MARTINEZ</cp:lastModifiedBy>
  <cp:lastPrinted>2024-03-04T20:29:00Z</cp:lastPrinted>
  <dcterms:created xsi:type="dcterms:W3CDTF">2022-01-20T13:08:32Z</dcterms:created>
  <dcterms:modified xsi:type="dcterms:W3CDTF">2026-05-21T20:07:20Z</dcterms:modified>
</cp:coreProperties>
</file>