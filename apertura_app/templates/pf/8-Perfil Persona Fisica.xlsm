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6b5e85133815d05b/Escritorio/1-Inversiones Nuevo/2-CONTRATO EN PROCESO/1-JOSUE CRUZ/"/>
    </mc:Choice>
  </mc:AlternateContent>
  <xr:revisionPtr revIDLastSave="6" documentId="8_{70C54772-2C52-AA47-B365-C3A2EC0BA191}" xr6:coauthVersionLast="47" xr6:coauthVersionMax="47" xr10:uidLastSave="{54228A67-D1BF-4CAB-B878-92134EC6CEC7}"/>
  <workbookProtection workbookAlgorithmName="SHA-512" workbookHashValue="VazgTQDTMxP3etYY0jb2pOMmhX429KmoErC8HYNANcATWwZ/H7d0AM08QzYVwOWM1yEisyrPAwsPW44cL0OCJQ==" workbookSaltValue="+gNUn/o4XGI5m0OB0IbDJA==" workbookSpinCount="100000" lockStructure="1"/>
  <bookViews>
    <workbookView xWindow="-108" yWindow="-108" windowWidth="23256" windowHeight="12456" xr2:uid="{CDC7B59C-4AC6-4DF9-BB10-6E81352A436E}"/>
  </bookViews>
  <sheets>
    <sheet name="Hoja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1" i="1" l="1"/>
  <c r="D62" i="1"/>
  <c r="I62" i="1" l="1"/>
  <c r="J62" i="1"/>
  <c r="K62" i="1"/>
  <c r="F62" i="1"/>
  <c r="H62" i="1"/>
  <c r="I28" i="1"/>
  <c r="H121" i="1"/>
  <c r="J112" i="1"/>
  <c r="E112" i="1"/>
  <c r="I100" i="1"/>
  <c r="E89" i="1"/>
  <c r="H78" i="1"/>
  <c r="D30" i="1"/>
  <c r="I20" i="1"/>
  <c r="K126" i="1" l="1"/>
  <c r="K127" i="1" s="1"/>
</calcChain>
</file>

<file path=xl/sharedStrings.xml><?xml version="1.0" encoding="utf-8"?>
<sst xmlns="http://schemas.openxmlformats.org/spreadsheetml/2006/main" count="193" uniqueCount="144">
  <si>
    <t>Perfil para Persona Física</t>
  </si>
  <si>
    <t>I.- Conocimiento del cliente y su Experiencia en productos financieros</t>
  </si>
  <si>
    <t>1. Intervalo de edad ¿En qué rango de edad te encuentras (años)?</t>
  </si>
  <si>
    <t>a)</t>
  </si>
  <si>
    <t>b)</t>
  </si>
  <si>
    <t>c)</t>
  </si>
  <si>
    <t>d)</t>
  </si>
  <si>
    <t>Más de 66</t>
  </si>
  <si>
    <t>Entre 45 a 65</t>
  </si>
  <si>
    <t>Entre 35 a 45</t>
  </si>
  <si>
    <t>Menos de 35</t>
  </si>
  <si>
    <t>PUNTOS</t>
  </si>
  <si>
    <t xml:space="preserve">PUNTOS        </t>
  </si>
  <si>
    <t>2. Nivel de Estudios ¿Cuál es tu nivel máximo de estudios?</t>
  </si>
  <si>
    <t>Hasta educación media superior</t>
  </si>
  <si>
    <t>Educación superior</t>
  </si>
  <si>
    <t>Posgrado</t>
  </si>
  <si>
    <t>3. Ocupación ¿Cuál es tu ocupación actual?</t>
  </si>
  <si>
    <t>Pensionado</t>
  </si>
  <si>
    <t>Dependiente económico</t>
  </si>
  <si>
    <t>Directivo / Empleado</t>
  </si>
  <si>
    <t>Empresario / Independiente</t>
  </si>
  <si>
    <t>4. Estrategia de inversión generalmente utilizada</t>
  </si>
  <si>
    <t>Especulativa*</t>
  </si>
  <si>
    <t>Patrimonial**</t>
  </si>
  <si>
    <t>VALORES</t>
  </si>
  <si>
    <t>1 Instrumentos de Deuda Gubernamental</t>
  </si>
  <si>
    <t>2 Instrumentos de Deuda Corporativa</t>
  </si>
  <si>
    <t>A continuación, encontrarás un cuestionario que te ayudará a determinar tu perfil de inversionista. Cada pregunta tiene asignada una ponderación que le da valor a la opción que elijas.                                                                                                                                                                                                                                                                                                                                                              El puntaje final definirá tu Perfil de Inversionista (P1 Conservación, P2 Moderado, P3 Balanceado, P4 Crecimiento, P5 Oportunidad).                                                                                                                                                                                                                               Para que el siguiente ejercicio te sea útil es importante que las respuestas que proporciones se apeguen a tu manera real de reaccionar ante determinadas situaciones, ya que por naturaleza tendemos a contestar de acuerdo con una situación "ideal", que no siempre concuerda con la realidad de nuestro comportamiento.</t>
  </si>
  <si>
    <t>2.- ¿Cuál es su experiencia y conocimiento en los siguientes productos de inversión en los últimos dos años?</t>
  </si>
  <si>
    <t>Frecuencia</t>
  </si>
  <si>
    <t>Plazo</t>
  </si>
  <si>
    <t>Volumen</t>
  </si>
  <si>
    <t>NO CONOCE NI HA INVERTIDO</t>
  </si>
  <si>
    <t>SÓLO CONOCE</t>
  </si>
  <si>
    <t>CONOCE Y HA INVERTIDO</t>
  </si>
  <si>
    <t>3 Fondos de Inversión</t>
  </si>
  <si>
    <t>4 Valores Estructurados</t>
  </si>
  <si>
    <t>5 Certificados Bursátiles Fiduciarios (Cebures, Cedevis) y Fideicomisos Privados</t>
  </si>
  <si>
    <t>6 Títulos Opcionales (Warrants)</t>
  </si>
  <si>
    <t>7 Acciones</t>
  </si>
  <si>
    <t>8 Valores Extranjeros</t>
  </si>
  <si>
    <t>10 Certificados de Capital de Desarrollo (CKDs)</t>
  </si>
  <si>
    <t>-No conoce ni ha invertido: No conoce el producto y nunca ha invertido en éste.
-Solo conoce: Únicamente conoce el producto sin embargo nunca ha invertido en éste.
-conoce y ha invertido: Tiene pleno conocimiento del producto y anteriormente ha invertido en éste.</t>
  </si>
  <si>
    <t>II.- Objetivos de Inversión</t>
  </si>
  <si>
    <t>1.- Propósito de la Inversión</t>
  </si>
  <si>
    <t>Defensivo</t>
  </si>
  <si>
    <t>Liquidez</t>
  </si>
  <si>
    <t>Menos de un Año</t>
  </si>
  <si>
    <t>Puntos</t>
  </si>
  <si>
    <t>Horizonte</t>
  </si>
  <si>
    <t>Propósito</t>
  </si>
  <si>
    <t>Enfocado al ingreso</t>
  </si>
  <si>
    <t>Ingreso y crecimiento</t>
  </si>
  <si>
    <t>Enfocado al crecimiento</t>
  </si>
  <si>
    <t>Alto crecimiento</t>
  </si>
  <si>
    <t>Conservación</t>
  </si>
  <si>
    <t>Equilibrio</t>
  </si>
  <si>
    <t>Incremento</t>
  </si>
  <si>
    <t>Maximización</t>
  </si>
  <si>
    <t>Entre 1 y 2 años</t>
  </si>
  <si>
    <t>Mayor de 2 años y menor a 3 años</t>
  </si>
  <si>
    <t>Entre 3 y 5 años</t>
  </si>
  <si>
    <t>Mayor a 5 años</t>
  </si>
  <si>
    <t>2.- Horizonte y Liquidez</t>
  </si>
  <si>
    <t>Horizonte y liquidez</t>
  </si>
  <si>
    <t>9 Trackers o TRACs (Títulos Referenciado a Activos) o ETFs (Exchange-Traded Funds)</t>
  </si>
  <si>
    <t>3.- Tolerancia al Riesgo</t>
  </si>
  <si>
    <t>Poca o Nula</t>
  </si>
  <si>
    <t>Baja</t>
  </si>
  <si>
    <t>Media</t>
  </si>
  <si>
    <t>Alta</t>
  </si>
  <si>
    <t>Inviertes en instrumentos de deuda a corto o mediano plazo. Te gusta tener disponible tu patrimonio</t>
  </si>
  <si>
    <t>Inviertes en diversos plazos, destinas un porcentaje moderado en el mercado de capitales</t>
  </si>
  <si>
    <t>Tienes una participación importante en el mercado de capitales, aceptas períodos de volatilidad</t>
  </si>
  <si>
    <t>Buscas mejores rendimientos y comprendes que la volatilidad es alta</t>
  </si>
  <si>
    <t>Nivel de tolerancia al riesgo</t>
  </si>
  <si>
    <t>III.- Situación y capacidad financiera</t>
  </si>
  <si>
    <t>2. ¿Qué porcentaje de tu patrimonio invertirás con nosotros?</t>
  </si>
  <si>
    <t>1. ¿Tus ingresos provienen principalmente de?</t>
  </si>
  <si>
    <t>a) Más del 75%</t>
  </si>
  <si>
    <t>b) Entre 50% y 75%</t>
  </si>
  <si>
    <t>d) Menos del 25%</t>
  </si>
  <si>
    <t>a) Pensión/Plan Privado de Pensiones/Plan Personal de Retiro.</t>
  </si>
  <si>
    <t>b) Sueldos, salarios e ingreso por negocios o comisiones.</t>
  </si>
  <si>
    <t>c) Ingreso por negocios, Herencia o fideicomiso.</t>
  </si>
  <si>
    <t>d) Inversiones en valores o Venta de activo</t>
  </si>
  <si>
    <t>3. ¿Qué porcentaje de tu patrimonio inviertes en instrumentos bancarios tradicionales?</t>
  </si>
  <si>
    <t>a) Del 60% al 80%</t>
  </si>
  <si>
    <t>b) Del 30% al 60%</t>
  </si>
  <si>
    <t>c) De 10% a 30%</t>
  </si>
  <si>
    <t>d) Del 0% al 10%</t>
  </si>
  <si>
    <t>IV.- Aceptación del perfil</t>
  </si>
  <si>
    <t>Total No. Puntos</t>
  </si>
  <si>
    <t>Perfil</t>
  </si>
  <si>
    <t>Acepto el perfil y el portafolio, como resultado de este cuestionario</t>
  </si>
  <si>
    <t>Acepto el perfil, mas no el (los) portafolio(s) presupuestos(s) con base a este cuestionario. Soy conciente de que mi portafolio de inversión actual puede estar en discrepancia con mi perfil de riesgo</t>
  </si>
  <si>
    <t>Datos del cliente</t>
  </si>
  <si>
    <t>Nombre</t>
  </si>
  <si>
    <t xml:space="preserve">Numero de Contrato </t>
  </si>
  <si>
    <t xml:space="preserve">Fecha </t>
  </si>
  <si>
    <t>Email</t>
  </si>
  <si>
    <t>Firma del cliente</t>
  </si>
  <si>
    <t>Firma del Asesor</t>
  </si>
  <si>
    <t>TABLA DE PUNTAJE</t>
  </si>
  <si>
    <t>RANGOS POR PUNTOS OBTENIDOS</t>
  </si>
  <si>
    <t>PERFIL DETERMINADO</t>
  </si>
  <si>
    <t>P1 Conservación</t>
  </si>
  <si>
    <t>P2 Moderado</t>
  </si>
  <si>
    <t>P3 Balanceado</t>
  </si>
  <si>
    <t>P4 Crecimiento</t>
  </si>
  <si>
    <t>P5 Agresivo</t>
  </si>
  <si>
    <t>a) Mayor a 5 años</t>
  </si>
  <si>
    <t>b) De 2 años a 5 años</t>
  </si>
  <si>
    <t>c) Menor a 2 años</t>
  </si>
  <si>
    <t>d) Hasta 2 meses</t>
  </si>
  <si>
    <r>
      <rPr>
        <u/>
        <sz val="10"/>
        <color rgb="FF44546A"/>
        <rFont val="Calibri"/>
        <family val="2"/>
        <scheme val="minor"/>
      </rPr>
      <t>Seleccione la casilla con una "X"</t>
    </r>
    <r>
      <rPr>
        <sz val="10"/>
        <color rgb="FF44546A"/>
        <rFont val="Calibri"/>
        <family val="2"/>
        <scheme val="minor"/>
      </rPr>
      <t xml:space="preserve"> lo que mejor describa su proposito y horizonte de inversión.</t>
    </r>
  </si>
  <si>
    <r>
      <t xml:space="preserve">¿Cuándo crees que necesitarás tu dinero? Regularmente, con un horizonte de inversión de mayor plazo, eres menos vulnerable ante las alzas y bajas del mercado, </t>
    </r>
    <r>
      <rPr>
        <u/>
        <sz val="10"/>
        <color rgb="FF44546A"/>
        <rFont val="Calibri"/>
        <family val="2"/>
        <scheme val="minor"/>
      </rPr>
      <t>selecciona con una "X" la opcion.</t>
    </r>
  </si>
  <si>
    <r>
      <t xml:space="preserve">Tu tolerancia al riesgo es, </t>
    </r>
    <r>
      <rPr>
        <u/>
        <sz val="10"/>
        <color rgb="FF44546A"/>
        <rFont val="Calibri"/>
        <family val="2"/>
        <scheme val="minor"/>
      </rPr>
      <t>selecciona con una "X" la opcion de tu preferencia:</t>
    </r>
  </si>
  <si>
    <t>De         0 a 15</t>
  </si>
  <si>
    <t>De       16 a 35</t>
  </si>
  <si>
    <t>De        36 a 55</t>
  </si>
  <si>
    <t>De       56 a 75</t>
  </si>
  <si>
    <t>De       76 a 95</t>
  </si>
  <si>
    <t>Juan Javier Gilberto Tellez López</t>
  </si>
  <si>
    <t xml:space="preserve">Asesor en Inversiones Independiente </t>
  </si>
  <si>
    <t>Gestión de Cartera</t>
  </si>
  <si>
    <t xml:space="preserve">Perfil para Persona Física </t>
  </si>
  <si>
    <r>
      <t xml:space="preserve">1.- Para cada una de las siguientes preguntas, </t>
    </r>
    <r>
      <rPr>
        <b/>
        <u/>
        <sz val="10"/>
        <color rgb="FF44546A"/>
        <rFont val="Calibri"/>
        <family val="2"/>
        <scheme val="minor"/>
      </rPr>
      <t>seleccione la casilla con una "X" lo que mejor describa su información personal actual.</t>
    </r>
  </si>
  <si>
    <r>
      <t>Por cada uno de los siguientes productos,</t>
    </r>
    <r>
      <rPr>
        <b/>
        <u/>
        <sz val="10"/>
        <color rgb="FF44546A"/>
        <rFont val="Calibri"/>
        <family val="2"/>
        <scheme val="minor"/>
      </rPr>
      <t xml:space="preserve"> seleccione la casilla con una "X" lo que mejor describe su nivel de conocimiento y experiencia con los mismos.</t>
    </r>
  </si>
  <si>
    <r>
      <t xml:space="preserve">Si conoce y ha invertido, </t>
    </r>
    <r>
      <rPr>
        <b/>
        <u/>
        <sz val="9"/>
        <color rgb="FF44546A"/>
        <rFont val="Calibri"/>
        <family val="2"/>
        <scheme val="minor"/>
      </rPr>
      <t>indique con la letra correspondiente lo que mejor se adecue a su respuesta:</t>
    </r>
  </si>
  <si>
    <r>
      <rPr>
        <b/>
        <sz val="9"/>
        <color rgb="FF44546A"/>
        <rFont val="Calibri"/>
        <family val="2"/>
        <scheme val="minor"/>
      </rPr>
      <t>(M)</t>
    </r>
    <r>
      <rPr>
        <sz val="9"/>
        <color rgb="FF44546A"/>
        <rFont val="Calibri"/>
        <family val="2"/>
        <scheme val="minor"/>
      </rPr>
      <t xml:space="preserve"> Mensual, </t>
    </r>
    <r>
      <rPr>
        <b/>
        <sz val="9"/>
        <color rgb="FF44546A"/>
        <rFont val="Calibri"/>
        <family val="2"/>
        <scheme val="minor"/>
      </rPr>
      <t>(S)</t>
    </r>
    <r>
      <rPr>
        <sz val="9"/>
        <color rgb="FF44546A"/>
        <rFont val="Calibri"/>
        <family val="2"/>
        <scheme val="minor"/>
      </rPr>
      <t xml:space="preserve"> Semestral, </t>
    </r>
    <r>
      <rPr>
        <b/>
        <sz val="9"/>
        <color rgb="FF44546A"/>
        <rFont val="Calibri"/>
        <family val="2"/>
        <scheme val="minor"/>
      </rPr>
      <t>(A)</t>
    </r>
    <r>
      <rPr>
        <sz val="9"/>
        <color rgb="FF44546A"/>
        <rFont val="Calibri"/>
        <family val="2"/>
        <scheme val="minor"/>
      </rPr>
      <t xml:space="preserve"> Anual</t>
    </r>
  </si>
  <si>
    <r>
      <rPr>
        <b/>
        <sz val="9"/>
        <color rgb="FF44546A"/>
        <rFont val="Calibri"/>
        <family val="2"/>
        <scheme val="minor"/>
      </rPr>
      <t>(C)</t>
    </r>
    <r>
      <rPr>
        <sz val="9"/>
        <color rgb="FF44546A"/>
        <rFont val="Calibri"/>
        <family val="2"/>
        <scheme val="minor"/>
      </rPr>
      <t xml:space="preserve"> menos de 1 año, </t>
    </r>
    <r>
      <rPr>
        <b/>
        <sz val="9"/>
        <color rgb="FF44546A"/>
        <rFont val="Calibri"/>
        <family val="2"/>
        <scheme val="minor"/>
      </rPr>
      <t>(M)</t>
    </r>
    <r>
      <rPr>
        <sz val="9"/>
        <color rgb="FF44546A"/>
        <rFont val="Calibri"/>
        <family val="2"/>
        <scheme val="minor"/>
      </rPr>
      <t xml:space="preserve"> Entre 1 año y 3 años,</t>
    </r>
    <r>
      <rPr>
        <b/>
        <sz val="9"/>
        <color rgb="FF44546A"/>
        <rFont val="Calibri"/>
        <family val="2"/>
        <scheme val="minor"/>
      </rPr>
      <t xml:space="preserve">                                         (L)</t>
    </r>
    <r>
      <rPr>
        <sz val="9"/>
        <color rgb="FF44546A"/>
        <rFont val="Calibri"/>
        <family val="2"/>
        <scheme val="minor"/>
      </rPr>
      <t xml:space="preserve">  mayor a 3 años</t>
    </r>
  </si>
  <si>
    <r>
      <rPr>
        <b/>
        <sz val="9"/>
        <color rgb="FF44546A"/>
        <rFont val="Calibri"/>
        <family val="2"/>
        <scheme val="minor"/>
      </rPr>
      <t>(B)</t>
    </r>
    <r>
      <rPr>
        <sz val="9"/>
        <color rgb="FF44546A"/>
        <rFont val="Calibri"/>
        <family val="2"/>
        <scheme val="minor"/>
      </rPr>
      <t xml:space="preserve"> el 10% de mis inversiones,      </t>
    </r>
    <r>
      <rPr>
        <b/>
        <sz val="9"/>
        <color rgb="FF44546A"/>
        <rFont val="Calibri"/>
        <family val="2"/>
        <scheme val="minor"/>
      </rPr>
      <t>(M)</t>
    </r>
    <r>
      <rPr>
        <sz val="9"/>
        <color rgb="FF44546A"/>
        <rFont val="Calibri"/>
        <family val="2"/>
        <scheme val="minor"/>
      </rPr>
      <t xml:space="preserve"> del 10% al 30% de mis inversiones,                                            </t>
    </r>
    <r>
      <rPr>
        <b/>
        <sz val="9"/>
        <color rgb="FF44546A"/>
        <rFont val="Calibri"/>
        <family val="2"/>
        <scheme val="minor"/>
      </rPr>
      <t>(A)</t>
    </r>
    <r>
      <rPr>
        <sz val="9"/>
        <color rgb="FF44546A"/>
        <rFont val="Calibri"/>
        <family val="2"/>
        <scheme val="minor"/>
      </rPr>
      <t xml:space="preserve"> mayor al 30% de mis inversiones</t>
    </r>
  </si>
  <si>
    <r>
      <t>1.- Para cada una de las siguientes preguntas,</t>
    </r>
    <r>
      <rPr>
        <b/>
        <u/>
        <sz val="10"/>
        <color rgb="FF44546A"/>
        <rFont val="Calibri"/>
        <family val="2"/>
        <scheme val="minor"/>
      </rPr>
      <t xml:space="preserve"> seleccione la casilla con una "X" lo que mejor describa su situación financiera actual.</t>
    </r>
  </si>
  <si>
    <t>En este acto el cliente manifiesta que Juan Gilberto Tellez López Asesor Independiente puso a su disposición el aviso de privacidad cuyo contenido acepta expresamente. Una vez concluido el proceso de perfilamiento, el (los) titular (res) manifiesto (amos) la conformidad con el perfil de inversión, así como que he (mos) recibido una explicación de su significado, así mismo declaro (amos) que tuve (imos) a mi (nuestra) disposición, leí (mos), entendí (mos) y acepté (amos) las Características para determinar el Perfil del Cliente para la Prestación de Servicios de Gestión de Cartera documento que contiene las definiciones de los perfiles, la Tolerancia al Riesgos, los Objetivos de inversión y la explicación de las Categorías de Productos que se distribuyen.</t>
  </si>
  <si>
    <t>*Especulativa: Estrategias de inversión de alto riesgo basada en las oportunidades derivadas de las fluctuaciones de los mercados        **Patrimonial: Portafolios diversificados basados en una estrategia de inversión de corto, mediano y largo plazo.</t>
  </si>
  <si>
    <t>X</t>
  </si>
  <si>
    <t>c) Entre 25% y 50%</t>
  </si>
  <si>
    <t>M</t>
  </si>
  <si>
    <t>C</t>
  </si>
  <si>
    <t>JOSUE ARTURO CRUZ ESPARZA</t>
  </si>
  <si>
    <t>jc9111996@gmail.com</t>
  </si>
  <si>
    <t>Josue Arturo Cruz Esparza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</si>
</sst>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2"/>
      <color theme="1"/>
      <name val="Calibri"/>
      <family val="2"/>
      <scheme val="minor"/>
    </font>
    <font>
      <sz val="12"/>
      <color theme="1"/>
      <name val="Calibri"/>
      <family val="2"/>
      <scheme val="minor"/>
    </font>
    <font>
      <b/>
      <sz val="15"/>
      <color rgb="FF44546A"/>
      <name val="Arial"/>
      <family val="2"/>
    </font>
    <font>
      <sz val="9"/>
      <color rgb="FF44546A"/>
      <name val="Calibri"/>
      <family val="2"/>
      <scheme val="minor"/>
    </font>
    <font>
      <sz val="14"/>
      <color rgb="FF44546A"/>
      <name val="Times New Roman"/>
      <family val="1"/>
    </font>
    <font>
      <b/>
      <sz val="9"/>
      <color rgb="FF44546A"/>
      <name val="Calibri"/>
      <family val="2"/>
      <scheme val="minor"/>
    </font>
    <font>
      <b/>
      <sz val="8"/>
      <color rgb="FF44546A"/>
      <name val="Calibri"/>
      <family val="2"/>
      <scheme val="minor"/>
    </font>
    <font>
      <b/>
      <sz val="10"/>
      <color rgb="FF44546A"/>
      <name val="Calibri"/>
      <family val="2"/>
      <scheme val="minor"/>
    </font>
    <font>
      <sz val="10"/>
      <color rgb="FF44546A"/>
      <name val="Calibri"/>
      <family val="2"/>
      <scheme val="minor"/>
    </font>
    <font>
      <sz val="10"/>
      <color theme="1"/>
      <name val="Calibri"/>
      <family val="2"/>
      <scheme val="minor"/>
    </font>
    <font>
      <sz val="8"/>
      <name val="Calibri"/>
      <family val="2"/>
      <scheme val="minor"/>
    </font>
    <font>
      <b/>
      <u/>
      <sz val="9"/>
      <color rgb="FF44546A"/>
      <name val="Calibri"/>
      <family val="2"/>
      <scheme val="minor"/>
    </font>
    <font>
      <u/>
      <sz val="10"/>
      <color rgb="FF44546A"/>
      <name val="Calibri"/>
      <family val="2"/>
      <scheme val="minor"/>
    </font>
    <font>
      <b/>
      <sz val="20"/>
      <color rgb="FFE7E6E6"/>
      <name val="Calibri"/>
      <family val="2"/>
      <scheme val="minor"/>
    </font>
    <font>
      <b/>
      <sz val="12"/>
      <color rgb="FFE7E6E6"/>
      <name val="Calibri"/>
      <family val="2"/>
      <scheme val="minor"/>
    </font>
    <font>
      <sz val="16"/>
      <color rgb="FF44546A"/>
      <name val="Times New Roman"/>
      <family val="1"/>
    </font>
    <font>
      <b/>
      <u/>
      <sz val="10"/>
      <color rgb="FF44546A"/>
      <name val="Calibri"/>
      <family val="2"/>
      <scheme val="minor"/>
    </font>
    <font>
      <b/>
      <sz val="11"/>
      <color rgb="FF44546A"/>
      <name val="Calibri"/>
      <family val="2"/>
      <scheme val="minor"/>
    </font>
    <font>
      <b/>
      <sz val="12"/>
      <color rgb="FF44546A"/>
      <name val="Calibri"/>
      <family val="2"/>
      <scheme val="minor"/>
    </font>
    <font>
      <sz val="12"/>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theme="2"/>
        <bgColor indexed="64"/>
      </patternFill>
    </fill>
  </fills>
  <borders count="73">
    <border>
      <left/>
      <right/>
      <top/>
      <bottom/>
      <diagonal/>
    </border>
    <border>
      <left style="thin">
        <color theme="4"/>
      </left>
      <right style="thin">
        <color theme="4"/>
      </right>
      <top style="thin">
        <color theme="4"/>
      </top>
      <bottom style="thin">
        <color theme="4"/>
      </bottom>
      <diagonal/>
    </border>
    <border>
      <left style="thin">
        <color theme="4"/>
      </left>
      <right/>
      <top style="thin">
        <color theme="4"/>
      </top>
      <bottom style="thin">
        <color theme="4"/>
      </bottom>
      <diagonal/>
    </border>
    <border>
      <left/>
      <right/>
      <top style="thin">
        <color theme="4"/>
      </top>
      <bottom/>
      <diagonal/>
    </border>
    <border>
      <left/>
      <right style="thin">
        <color theme="4"/>
      </right>
      <top style="thin">
        <color theme="4"/>
      </top>
      <bottom/>
      <diagonal/>
    </border>
    <border>
      <left/>
      <right style="thin">
        <color theme="4"/>
      </right>
      <top style="thin">
        <color theme="4"/>
      </top>
      <bottom style="thin">
        <color theme="4"/>
      </bottom>
      <diagonal/>
    </border>
    <border>
      <left style="thin">
        <color theme="4"/>
      </left>
      <right/>
      <top style="thin">
        <color theme="4"/>
      </top>
      <bottom/>
      <diagonal/>
    </border>
    <border>
      <left/>
      <right/>
      <top/>
      <bottom style="thin">
        <color theme="4"/>
      </bottom>
      <diagonal/>
    </border>
    <border>
      <left style="thin">
        <color theme="4"/>
      </left>
      <right style="thin">
        <color theme="4"/>
      </right>
      <top style="thin">
        <color theme="4"/>
      </top>
      <bottom/>
      <diagonal/>
    </border>
    <border>
      <left style="thin">
        <color theme="2"/>
      </left>
      <right style="thin">
        <color theme="2"/>
      </right>
      <top style="thin">
        <color theme="2"/>
      </top>
      <bottom style="thin">
        <color theme="2"/>
      </bottom>
      <diagonal/>
    </border>
    <border>
      <left style="thin">
        <color theme="2"/>
      </left>
      <right/>
      <top style="thin">
        <color theme="2"/>
      </top>
      <bottom style="thin">
        <color theme="2"/>
      </bottom>
      <diagonal/>
    </border>
    <border>
      <left style="thin">
        <color theme="2"/>
      </left>
      <right/>
      <top/>
      <bottom/>
      <diagonal/>
    </border>
    <border>
      <left style="thin">
        <color theme="2"/>
      </left>
      <right/>
      <top style="thin">
        <color theme="2"/>
      </top>
      <bottom/>
      <diagonal/>
    </border>
    <border>
      <left/>
      <right style="thin">
        <color theme="2"/>
      </right>
      <top style="thin">
        <color theme="2"/>
      </top>
      <bottom/>
      <diagonal/>
    </border>
    <border>
      <left style="thin">
        <color theme="2"/>
      </left>
      <right/>
      <top/>
      <bottom style="thin">
        <color theme="2"/>
      </bottom>
      <diagonal/>
    </border>
    <border>
      <left/>
      <right style="thin">
        <color theme="2"/>
      </right>
      <top/>
      <bottom style="thin">
        <color theme="2"/>
      </bottom>
      <diagonal/>
    </border>
    <border>
      <left/>
      <right style="thin">
        <color theme="2"/>
      </right>
      <top/>
      <bottom/>
      <diagonal/>
    </border>
    <border>
      <left style="thin">
        <color theme="2"/>
      </left>
      <right style="thin">
        <color theme="2"/>
      </right>
      <top style="thin">
        <color theme="2"/>
      </top>
      <bottom/>
      <diagonal/>
    </border>
    <border>
      <left style="thin">
        <color theme="2"/>
      </left>
      <right style="thin">
        <color theme="2"/>
      </right>
      <top/>
      <bottom style="thin">
        <color theme="2"/>
      </bottom>
      <diagonal/>
    </border>
    <border>
      <left style="thick">
        <color theme="2"/>
      </left>
      <right style="thin">
        <color theme="2"/>
      </right>
      <top style="thin">
        <color theme="2"/>
      </top>
      <bottom style="thin">
        <color theme="2"/>
      </bottom>
      <diagonal/>
    </border>
    <border>
      <left style="thick">
        <color theme="2"/>
      </left>
      <right style="thin">
        <color theme="2"/>
      </right>
      <top style="thin">
        <color theme="2"/>
      </top>
      <bottom/>
      <diagonal/>
    </border>
    <border>
      <left style="thick">
        <color theme="2"/>
      </left>
      <right style="thin">
        <color theme="2"/>
      </right>
      <top/>
      <bottom style="thin">
        <color theme="2"/>
      </bottom>
      <diagonal/>
    </border>
    <border>
      <left style="thin">
        <color theme="2"/>
      </left>
      <right style="thin">
        <color theme="2"/>
      </right>
      <top style="thin">
        <color theme="2"/>
      </top>
      <bottom style="medium">
        <color theme="2"/>
      </bottom>
      <diagonal/>
    </border>
    <border>
      <left style="medium">
        <color theme="2"/>
      </left>
      <right/>
      <top style="medium">
        <color theme="2"/>
      </top>
      <bottom/>
      <diagonal/>
    </border>
    <border>
      <left/>
      <right style="thin">
        <color theme="2"/>
      </right>
      <top style="medium">
        <color theme="2"/>
      </top>
      <bottom/>
      <diagonal/>
    </border>
    <border>
      <left style="thin">
        <color theme="2"/>
      </left>
      <right/>
      <top style="medium">
        <color theme="2"/>
      </top>
      <bottom/>
      <diagonal/>
    </border>
    <border>
      <left style="thick">
        <color theme="2"/>
      </left>
      <right style="thin">
        <color theme="2"/>
      </right>
      <top style="medium">
        <color theme="2"/>
      </top>
      <bottom style="thin">
        <color theme="2"/>
      </bottom>
      <diagonal/>
    </border>
    <border>
      <left style="thin">
        <color theme="2"/>
      </left>
      <right style="thin">
        <color theme="2"/>
      </right>
      <top style="medium">
        <color theme="2"/>
      </top>
      <bottom style="thin">
        <color theme="2"/>
      </bottom>
      <diagonal/>
    </border>
    <border>
      <left style="thin">
        <color theme="2"/>
      </left>
      <right style="medium">
        <color theme="2"/>
      </right>
      <top style="medium">
        <color theme="2"/>
      </top>
      <bottom style="thin">
        <color theme="2"/>
      </bottom>
      <diagonal/>
    </border>
    <border>
      <left style="medium">
        <color theme="2"/>
      </left>
      <right/>
      <top/>
      <bottom/>
      <diagonal/>
    </border>
    <border>
      <left style="thin">
        <color theme="2"/>
      </left>
      <right style="medium">
        <color theme="2"/>
      </right>
      <top style="thin">
        <color theme="2"/>
      </top>
      <bottom style="thin">
        <color theme="2"/>
      </bottom>
      <diagonal/>
    </border>
    <border>
      <left style="medium">
        <color theme="2"/>
      </left>
      <right/>
      <top/>
      <bottom style="thin">
        <color theme="2"/>
      </bottom>
      <diagonal/>
    </border>
    <border>
      <left style="thin">
        <color theme="2"/>
      </left>
      <right style="medium">
        <color theme="2"/>
      </right>
      <top style="thin">
        <color theme="2"/>
      </top>
      <bottom/>
      <diagonal/>
    </border>
    <border>
      <left style="medium">
        <color theme="2"/>
      </left>
      <right style="thin">
        <color theme="2"/>
      </right>
      <top style="thin">
        <color theme="2"/>
      </top>
      <bottom style="thin">
        <color theme="2"/>
      </bottom>
      <diagonal/>
    </border>
    <border>
      <left style="thin">
        <color theme="2"/>
      </left>
      <right style="medium">
        <color theme="2"/>
      </right>
      <top/>
      <bottom style="thin">
        <color theme="2"/>
      </bottom>
      <diagonal/>
    </border>
    <border>
      <left style="medium">
        <color theme="2"/>
      </left>
      <right style="thin">
        <color theme="2"/>
      </right>
      <top style="thin">
        <color theme="2"/>
      </top>
      <bottom style="medium">
        <color theme="2"/>
      </bottom>
      <diagonal/>
    </border>
    <border>
      <left style="thin">
        <color theme="2"/>
      </left>
      <right style="medium">
        <color theme="2"/>
      </right>
      <top style="thin">
        <color theme="2"/>
      </top>
      <bottom style="medium">
        <color theme="2"/>
      </bottom>
      <diagonal/>
    </border>
    <border>
      <left style="thin">
        <color theme="2"/>
      </left>
      <right style="thin">
        <color theme="2"/>
      </right>
      <top/>
      <bottom style="medium">
        <color theme="2"/>
      </bottom>
      <diagonal/>
    </border>
    <border>
      <left/>
      <right/>
      <top style="medium">
        <color theme="2"/>
      </top>
      <bottom/>
      <diagonal/>
    </border>
    <border>
      <left style="thin">
        <color theme="2"/>
      </left>
      <right/>
      <top/>
      <bottom style="medium">
        <color theme="2"/>
      </bottom>
      <diagonal/>
    </border>
    <border>
      <left style="medium">
        <color theme="2"/>
      </left>
      <right/>
      <top style="medium">
        <color theme="2"/>
      </top>
      <bottom style="medium">
        <color theme="2"/>
      </bottom>
      <diagonal/>
    </border>
    <border>
      <left style="thin">
        <color theme="2"/>
      </left>
      <right style="thin">
        <color theme="2"/>
      </right>
      <top style="medium">
        <color theme="2"/>
      </top>
      <bottom style="medium">
        <color theme="2"/>
      </bottom>
      <diagonal/>
    </border>
    <border>
      <left/>
      <right/>
      <top style="medium">
        <color theme="2"/>
      </top>
      <bottom style="medium">
        <color theme="2"/>
      </bottom>
      <diagonal/>
    </border>
    <border>
      <left style="medium">
        <color theme="2"/>
      </left>
      <right style="medium">
        <color theme="2"/>
      </right>
      <top style="medium">
        <color theme="2"/>
      </top>
      <bottom style="medium">
        <color theme="2"/>
      </bottom>
      <diagonal/>
    </border>
    <border>
      <left/>
      <right style="medium">
        <color theme="2"/>
      </right>
      <top style="medium">
        <color theme="2"/>
      </top>
      <bottom style="medium">
        <color theme="2"/>
      </bottom>
      <diagonal/>
    </border>
    <border>
      <left style="medium">
        <color theme="2"/>
      </left>
      <right style="thin">
        <color theme="2"/>
      </right>
      <top style="medium">
        <color theme="2"/>
      </top>
      <bottom style="thin">
        <color theme="2"/>
      </bottom>
      <diagonal/>
    </border>
    <border>
      <left style="thin">
        <color theme="2"/>
      </left>
      <right style="medium">
        <color theme="2"/>
      </right>
      <top style="medium">
        <color theme="2"/>
      </top>
      <bottom style="medium">
        <color theme="2"/>
      </bottom>
      <diagonal/>
    </border>
    <border>
      <left style="medium">
        <color theme="2"/>
      </left>
      <right style="thin">
        <color theme="2"/>
      </right>
      <top style="medium">
        <color theme="2"/>
      </top>
      <bottom style="medium">
        <color theme="2"/>
      </bottom>
      <diagonal/>
    </border>
    <border>
      <left style="thin">
        <color theme="2"/>
      </left>
      <right/>
      <top style="medium">
        <color theme="2"/>
      </top>
      <bottom style="thin">
        <color theme="2"/>
      </bottom>
      <diagonal/>
    </border>
    <border>
      <left style="thin">
        <color theme="2"/>
      </left>
      <right/>
      <top style="thin">
        <color theme="2"/>
      </top>
      <bottom style="medium">
        <color theme="2"/>
      </bottom>
      <diagonal/>
    </border>
    <border>
      <left style="medium">
        <color theme="2"/>
      </left>
      <right/>
      <top style="thin">
        <color theme="2"/>
      </top>
      <bottom style="medium">
        <color theme="2"/>
      </bottom>
      <diagonal/>
    </border>
    <border>
      <left/>
      <right/>
      <top style="thin">
        <color theme="2"/>
      </top>
      <bottom style="medium">
        <color theme="2"/>
      </bottom>
      <diagonal/>
    </border>
    <border>
      <left/>
      <right style="thin">
        <color theme="2"/>
      </right>
      <top style="thin">
        <color theme="2"/>
      </top>
      <bottom style="medium">
        <color theme="2"/>
      </bottom>
      <diagonal/>
    </border>
    <border>
      <left style="medium">
        <color theme="2"/>
      </left>
      <right/>
      <top style="thin">
        <color theme="2"/>
      </top>
      <bottom style="thin">
        <color theme="2"/>
      </bottom>
      <diagonal/>
    </border>
    <border>
      <left/>
      <right/>
      <top style="thin">
        <color theme="2"/>
      </top>
      <bottom style="thin">
        <color theme="2"/>
      </bottom>
      <diagonal/>
    </border>
    <border>
      <left/>
      <right style="thin">
        <color theme="2"/>
      </right>
      <top style="thin">
        <color theme="2"/>
      </top>
      <bottom style="thin">
        <color theme="2"/>
      </bottom>
      <diagonal/>
    </border>
    <border>
      <left style="medium">
        <color theme="2"/>
      </left>
      <right/>
      <top style="medium">
        <color theme="2"/>
      </top>
      <bottom style="thin">
        <color theme="2"/>
      </bottom>
      <diagonal/>
    </border>
    <border>
      <left/>
      <right/>
      <top style="medium">
        <color theme="2"/>
      </top>
      <bottom style="thin">
        <color theme="2"/>
      </bottom>
      <diagonal/>
    </border>
    <border>
      <left/>
      <right style="thin">
        <color theme="2"/>
      </right>
      <top style="medium">
        <color theme="2"/>
      </top>
      <bottom style="thin">
        <color theme="2"/>
      </bottom>
      <diagonal/>
    </border>
    <border>
      <left style="medium">
        <color theme="2"/>
      </left>
      <right style="medium">
        <color theme="2"/>
      </right>
      <top style="medium">
        <color theme="2"/>
      </top>
      <bottom style="thin">
        <color theme="2"/>
      </bottom>
      <diagonal/>
    </border>
    <border>
      <left style="thin">
        <color theme="2"/>
      </left>
      <right style="thick">
        <color theme="2"/>
      </right>
      <top style="medium">
        <color theme="2"/>
      </top>
      <bottom/>
      <diagonal/>
    </border>
    <border>
      <left style="thin">
        <color theme="2"/>
      </left>
      <right style="thick">
        <color theme="2"/>
      </right>
      <top/>
      <bottom/>
      <diagonal/>
    </border>
    <border>
      <left style="thin">
        <color theme="2"/>
      </left>
      <right style="thick">
        <color theme="2"/>
      </right>
      <top/>
      <bottom style="thin">
        <color theme="2"/>
      </bottom>
      <diagonal/>
    </border>
    <border>
      <left/>
      <right style="medium">
        <color theme="2"/>
      </right>
      <top style="medium">
        <color theme="2"/>
      </top>
      <bottom/>
      <diagonal/>
    </border>
    <border>
      <left style="medium">
        <color theme="2"/>
      </left>
      <right style="medium">
        <color theme="2"/>
      </right>
      <top style="medium">
        <color theme="2"/>
      </top>
      <bottom/>
      <diagonal/>
    </border>
    <border>
      <left/>
      <right/>
      <top style="thin">
        <color theme="4"/>
      </top>
      <bottom style="thin">
        <color theme="4"/>
      </bottom>
      <diagonal/>
    </border>
    <border>
      <left/>
      <right/>
      <top/>
      <bottom style="thin">
        <color theme="2"/>
      </bottom>
      <diagonal/>
    </border>
    <border>
      <left/>
      <right/>
      <top style="thin">
        <color theme="2"/>
      </top>
      <bottom/>
      <diagonal/>
    </border>
    <border>
      <left style="thin">
        <color theme="2"/>
      </left>
      <right style="thin">
        <color theme="4"/>
      </right>
      <top style="thin">
        <color theme="4"/>
      </top>
      <bottom style="thin">
        <color theme="4"/>
      </bottom>
      <diagonal/>
    </border>
    <border>
      <left style="thin">
        <color theme="4"/>
      </left>
      <right style="thin">
        <color theme="2"/>
      </right>
      <top/>
      <bottom/>
      <diagonal/>
    </border>
    <border>
      <left/>
      <right/>
      <top style="thin">
        <color theme="4"/>
      </top>
      <bottom style="thin">
        <color theme="2"/>
      </bottom>
      <diagonal/>
    </border>
    <border>
      <left style="thin">
        <color theme="2"/>
      </left>
      <right style="thin">
        <color theme="4"/>
      </right>
      <top style="thin">
        <color theme="4"/>
      </top>
      <bottom/>
      <diagonal/>
    </border>
    <border>
      <left style="thin">
        <color theme="2"/>
      </left>
      <right/>
      <top style="thin">
        <color theme="4"/>
      </top>
      <bottom style="thin">
        <color theme="4"/>
      </bottom>
      <diagonal/>
    </border>
  </borders>
  <cellStyleXfs count="2">
    <xf numFmtId="0" fontId="0" fillId="0" borderId="0"/>
    <xf numFmtId="0" fontId="21" fillId="0" borderId="0" applyNumberFormat="0" applyFill="0" applyBorder="0" applyAlignment="0" applyProtection="0"/>
  </cellStyleXfs>
  <cellXfs count="207">
    <xf numFmtId="0" fontId="0" fillId="0" borderId="0" xfId="0"/>
    <xf numFmtId="0" fontId="9" fillId="0" borderId="2" xfId="0" applyFont="1" applyBorder="1" applyAlignment="1" applyProtection="1">
      <alignment horizontal="center"/>
      <protection locked="0"/>
    </xf>
    <xf numFmtId="0" fontId="9" fillId="0" borderId="1" xfId="0" applyFont="1" applyBorder="1" applyAlignment="1" applyProtection="1">
      <alignment horizontal="center"/>
      <protection locked="0"/>
    </xf>
    <xf numFmtId="0" fontId="9" fillId="0" borderId="28" xfId="0" applyFont="1" applyBorder="1" applyAlignment="1" applyProtection="1">
      <alignment horizontal="center" vertical="center"/>
      <protection locked="0"/>
    </xf>
    <xf numFmtId="0" fontId="9" fillId="0" borderId="59" xfId="0" applyFont="1" applyBorder="1" applyAlignment="1" applyProtection="1">
      <alignment horizontal="center" vertical="center"/>
      <protection locked="0"/>
    </xf>
    <xf numFmtId="0" fontId="9" fillId="0" borderId="8" xfId="0" applyFont="1" applyBorder="1" applyAlignment="1" applyProtection="1">
      <alignment horizontal="center"/>
      <protection locked="0"/>
    </xf>
    <xf numFmtId="0" fontId="0" fillId="0" borderId="1" xfId="0" applyBorder="1" applyProtection="1">
      <protection locked="0"/>
    </xf>
    <xf numFmtId="0" fontId="0" fillId="0" borderId="0" xfId="0" applyProtection="1">
      <protection hidden="1"/>
    </xf>
    <xf numFmtId="0" fontId="3" fillId="0" borderId="7" xfId="0" applyFont="1" applyBorder="1" applyAlignment="1" applyProtection="1">
      <alignment vertical="center"/>
      <protection hidden="1"/>
    </xf>
    <xf numFmtId="0" fontId="0" fillId="0" borderId="7" xfId="0" applyBorder="1" applyProtection="1">
      <protection hidden="1"/>
    </xf>
    <xf numFmtId="0" fontId="4" fillId="0" borderId="0" xfId="0" applyFont="1" applyAlignment="1" applyProtection="1">
      <alignment vertical="top" wrapText="1"/>
      <protection hidden="1"/>
    </xf>
    <xf numFmtId="0" fontId="4" fillId="0" borderId="0" xfId="0" applyFont="1" applyAlignment="1" applyProtection="1">
      <alignment horizontal="left" vertical="top" wrapText="1"/>
      <protection hidden="1"/>
    </xf>
    <xf numFmtId="0" fontId="16" fillId="2" borderId="0" xfId="0" applyFont="1" applyFill="1" applyAlignment="1" applyProtection="1">
      <alignment vertical="center"/>
      <protection hidden="1"/>
    </xf>
    <xf numFmtId="0" fontId="0" fillId="2" borderId="0" xfId="0" applyFill="1" applyProtection="1">
      <protection hidden="1"/>
    </xf>
    <xf numFmtId="0" fontId="8" fillId="0" borderId="0" xfId="0" applyFont="1" applyProtection="1">
      <protection hidden="1"/>
    </xf>
    <xf numFmtId="0" fontId="9" fillId="0" borderId="68" xfId="0" applyFont="1" applyBorder="1" applyProtection="1">
      <protection hidden="1"/>
    </xf>
    <xf numFmtId="0" fontId="9" fillId="0" borderId="2" xfId="0" applyFont="1" applyBorder="1" applyProtection="1">
      <protection hidden="1"/>
    </xf>
    <xf numFmtId="0" fontId="9" fillId="0" borderId="69" xfId="0" applyFont="1" applyBorder="1" applyProtection="1">
      <protection hidden="1"/>
    </xf>
    <xf numFmtId="0" fontId="9" fillId="0" borderId="1" xfId="0" applyFont="1" applyBorder="1" applyProtection="1">
      <protection hidden="1"/>
    </xf>
    <xf numFmtId="0" fontId="9" fillId="0" borderId="16" xfId="0" applyFont="1" applyBorder="1" applyProtection="1">
      <protection hidden="1"/>
    </xf>
    <xf numFmtId="0" fontId="9" fillId="0" borderId="5" xfId="0" applyFont="1" applyBorder="1" applyProtection="1">
      <protection hidden="1"/>
    </xf>
    <xf numFmtId="0" fontId="9" fillId="0" borderId="0" xfId="0" applyFont="1" applyProtection="1">
      <protection hidden="1"/>
    </xf>
    <xf numFmtId="0" fontId="10" fillId="0" borderId="11" xfId="0" applyFont="1" applyBorder="1" applyProtection="1">
      <protection hidden="1"/>
    </xf>
    <xf numFmtId="0" fontId="8" fillId="0" borderId="6" xfId="0" applyFont="1" applyBorder="1" applyAlignment="1" applyProtection="1">
      <alignment horizontal="right"/>
      <protection hidden="1"/>
    </xf>
    <xf numFmtId="1" fontId="8" fillId="0" borderId="1" xfId="0" applyNumberFormat="1" applyFont="1" applyBorder="1" applyAlignment="1" applyProtection="1">
      <alignment horizontal="center"/>
      <protection hidden="1"/>
    </xf>
    <xf numFmtId="0" fontId="10" fillId="0" borderId="71" xfId="0" applyFont="1" applyBorder="1" applyProtection="1">
      <protection hidden="1"/>
    </xf>
    <xf numFmtId="0" fontId="8" fillId="0" borderId="1" xfId="0" applyFont="1" applyBorder="1" applyAlignment="1" applyProtection="1">
      <alignment horizontal="right"/>
      <protection hidden="1"/>
    </xf>
    <xf numFmtId="0" fontId="8" fillId="0" borderId="6" xfId="0" applyFont="1" applyBorder="1" applyAlignment="1" applyProtection="1">
      <alignment horizontal="center"/>
      <protection hidden="1"/>
    </xf>
    <xf numFmtId="0" fontId="8" fillId="0" borderId="3" xfId="0" applyFont="1" applyBorder="1" applyAlignment="1" applyProtection="1">
      <alignment horizontal="right"/>
      <protection hidden="1"/>
    </xf>
    <xf numFmtId="0" fontId="8" fillId="0" borderId="0" xfId="0" applyFont="1" applyAlignment="1" applyProtection="1">
      <alignment horizontal="center"/>
      <protection hidden="1"/>
    </xf>
    <xf numFmtId="0" fontId="0" fillId="0" borderId="14" xfId="0" applyBorder="1" applyProtection="1">
      <protection hidden="1"/>
    </xf>
    <xf numFmtId="0" fontId="0" fillId="0" borderId="66" xfId="0" applyBorder="1" applyProtection="1">
      <protection hidden="1"/>
    </xf>
    <xf numFmtId="0" fontId="0" fillId="0" borderId="70" xfId="0" applyBorder="1" applyProtection="1">
      <protection hidden="1"/>
    </xf>
    <xf numFmtId="0" fontId="0" fillId="0" borderId="15" xfId="0" applyBorder="1" applyProtection="1">
      <protection hidden="1"/>
    </xf>
    <xf numFmtId="0" fontId="10" fillId="0" borderId="14" xfId="0" applyFont="1" applyBorder="1" applyProtection="1">
      <protection hidden="1"/>
    </xf>
    <xf numFmtId="0" fontId="10" fillId="0" borderId="66" xfId="0" applyFont="1" applyBorder="1" applyProtection="1">
      <protection hidden="1"/>
    </xf>
    <xf numFmtId="0" fontId="10" fillId="0" borderId="15" xfId="0" applyFont="1" applyBorder="1" applyProtection="1">
      <protection hidden="1"/>
    </xf>
    <xf numFmtId="0" fontId="0" fillId="0" borderId="11" xfId="0" applyBorder="1" applyProtection="1">
      <protection hidden="1"/>
    </xf>
    <xf numFmtId="0" fontId="8" fillId="0" borderId="4" xfId="0" applyFont="1" applyBorder="1" applyAlignment="1" applyProtection="1">
      <alignment horizontal="right"/>
      <protection hidden="1"/>
    </xf>
    <xf numFmtId="1" fontId="8" fillId="0" borderId="8" xfId="0" applyNumberFormat="1" applyFont="1" applyBorder="1" applyAlignment="1" applyProtection="1">
      <alignment horizontal="center"/>
      <protection hidden="1"/>
    </xf>
    <xf numFmtId="0" fontId="8" fillId="0" borderId="3" xfId="0" applyFont="1" applyBorder="1" applyAlignment="1" applyProtection="1">
      <alignment horizontal="center"/>
      <protection hidden="1"/>
    </xf>
    <xf numFmtId="0" fontId="0" fillId="0" borderId="0" xfId="0" applyAlignment="1" applyProtection="1">
      <alignment horizontal="center"/>
      <protection hidden="1"/>
    </xf>
    <xf numFmtId="0" fontId="10" fillId="0" borderId="0" xfId="0" applyFont="1" applyProtection="1">
      <protection hidden="1"/>
    </xf>
    <xf numFmtId="0" fontId="4" fillId="0" borderId="0" xfId="0" applyFont="1" applyAlignment="1" applyProtection="1">
      <alignment horizontal="left" vertical="center"/>
      <protection hidden="1"/>
    </xf>
    <xf numFmtId="0" fontId="7" fillId="2" borderId="19" xfId="0" applyFont="1" applyFill="1" applyBorder="1" applyAlignment="1" applyProtection="1">
      <alignment horizontal="center"/>
      <protection hidden="1"/>
    </xf>
    <xf numFmtId="0" fontId="7" fillId="2" borderId="9" xfId="0" applyFont="1" applyFill="1" applyBorder="1" applyAlignment="1" applyProtection="1">
      <alignment horizontal="center"/>
      <protection hidden="1"/>
    </xf>
    <xf numFmtId="0" fontId="7" fillId="2" borderId="30" xfId="0" applyFont="1" applyFill="1" applyBorder="1" applyAlignment="1" applyProtection="1">
      <alignment horizontal="center"/>
      <protection hidden="1"/>
    </xf>
    <xf numFmtId="1" fontId="8" fillId="0" borderId="39" xfId="0" applyNumberFormat="1" applyFont="1" applyBorder="1" applyAlignment="1" applyProtection="1">
      <alignment horizontal="center"/>
      <protection hidden="1"/>
    </xf>
    <xf numFmtId="1" fontId="8" fillId="0" borderId="47" xfId="0" applyNumberFormat="1" applyFont="1" applyBorder="1" applyAlignment="1" applyProtection="1">
      <alignment horizontal="center"/>
      <protection hidden="1"/>
    </xf>
    <xf numFmtId="1" fontId="8" fillId="0" borderId="41" xfId="0" applyNumberFormat="1" applyFont="1" applyBorder="1" applyAlignment="1" applyProtection="1">
      <alignment horizontal="center"/>
      <protection hidden="1"/>
    </xf>
    <xf numFmtId="1" fontId="8" fillId="0" borderId="46" xfId="0" applyNumberFormat="1" applyFont="1" applyBorder="1" applyAlignment="1" applyProtection="1">
      <alignment horizontal="center"/>
      <protection hidden="1"/>
    </xf>
    <xf numFmtId="0" fontId="8" fillId="2" borderId="46" xfId="0" applyFont="1" applyFill="1" applyBorder="1" applyAlignment="1" applyProtection="1">
      <alignment horizontal="center"/>
      <protection hidden="1"/>
    </xf>
    <xf numFmtId="1" fontId="8" fillId="0" borderId="36" xfId="0" applyNumberFormat="1" applyFont="1" applyBorder="1" applyAlignment="1" applyProtection="1">
      <alignment horizontal="center" vertical="center"/>
      <protection hidden="1"/>
    </xf>
    <xf numFmtId="0" fontId="8" fillId="0" borderId="43" xfId="0" applyFont="1" applyBorder="1" applyAlignment="1" applyProtection="1">
      <alignment vertical="center"/>
      <protection hidden="1"/>
    </xf>
    <xf numFmtId="0" fontId="8" fillId="2" borderId="64" xfId="0" applyFont="1" applyFill="1" applyBorder="1" applyAlignment="1" applyProtection="1">
      <alignment horizontal="center" vertical="center"/>
      <protection hidden="1"/>
    </xf>
    <xf numFmtId="0" fontId="8" fillId="0" borderId="40" xfId="0" applyFont="1" applyBorder="1" applyAlignment="1" applyProtection="1">
      <alignment vertical="center"/>
      <protection hidden="1"/>
    </xf>
    <xf numFmtId="0" fontId="4" fillId="0" borderId="16" xfId="0" applyFont="1" applyBorder="1" applyAlignment="1" applyProtection="1">
      <alignment horizontal="center"/>
      <protection hidden="1"/>
    </xf>
    <xf numFmtId="0" fontId="8" fillId="0" borderId="1" xfId="0" applyFont="1" applyBorder="1" applyAlignment="1" applyProtection="1">
      <alignment horizontal="center"/>
      <protection hidden="1"/>
    </xf>
    <xf numFmtId="0" fontId="8" fillId="0" borderId="2" xfId="0" applyFont="1" applyBorder="1" applyAlignment="1" applyProtection="1">
      <alignment horizontal="center"/>
      <protection hidden="1"/>
    </xf>
    <xf numFmtId="0" fontId="9" fillId="0" borderId="16" xfId="0" applyFont="1" applyBorder="1" applyAlignment="1" applyProtection="1">
      <alignment horizontal="center"/>
      <protection hidden="1"/>
    </xf>
    <xf numFmtId="0" fontId="16" fillId="2" borderId="0" xfId="0" applyFont="1" applyFill="1" applyAlignment="1" applyProtection="1">
      <alignment horizontal="left" vertical="center"/>
      <protection hidden="1"/>
    </xf>
    <xf numFmtId="0" fontId="5" fillId="2" borderId="0" xfId="0" applyFont="1" applyFill="1" applyAlignment="1" applyProtection="1">
      <alignment horizontal="left" vertical="center"/>
      <protection hidden="1"/>
    </xf>
    <xf numFmtId="0" fontId="5" fillId="0" borderId="0" xfId="0" applyFont="1" applyAlignment="1" applyProtection="1">
      <alignment horizontal="left" vertical="center"/>
      <protection hidden="1"/>
    </xf>
    <xf numFmtId="0" fontId="18" fillId="0" borderId="0" xfId="0" applyFont="1" applyAlignment="1" applyProtection="1">
      <alignment horizontal="right"/>
      <protection hidden="1"/>
    </xf>
    <xf numFmtId="1" fontId="18" fillId="3" borderId="9" xfId="0" applyNumberFormat="1" applyFont="1" applyFill="1" applyBorder="1" applyAlignment="1" applyProtection="1">
      <alignment horizontal="center"/>
      <protection hidden="1"/>
    </xf>
    <xf numFmtId="0" fontId="18" fillId="3" borderId="9" xfId="0" applyFont="1" applyFill="1" applyBorder="1" applyAlignment="1" applyProtection="1">
      <alignment horizontal="center" vertical="top"/>
      <protection hidden="1"/>
    </xf>
    <xf numFmtId="0" fontId="4" fillId="0" borderId="0" xfId="0" applyFont="1" applyAlignment="1" applyProtection="1">
      <alignment vertical="top"/>
      <protection hidden="1"/>
    </xf>
    <xf numFmtId="0" fontId="9" fillId="0" borderId="0" xfId="0" applyFont="1" applyAlignment="1" applyProtection="1">
      <alignment vertical="top"/>
      <protection hidden="1"/>
    </xf>
    <xf numFmtId="0" fontId="9" fillId="0" borderId="0" xfId="0" applyFont="1" applyAlignment="1" applyProtection="1">
      <alignment horizontal="left" vertical="top" wrapText="1"/>
      <protection hidden="1"/>
    </xf>
    <xf numFmtId="0" fontId="4" fillId="0" borderId="0" xfId="0" applyFont="1" applyAlignment="1" applyProtection="1">
      <alignment horizontal="center" vertical="top" wrapText="1"/>
      <protection hidden="1"/>
    </xf>
    <xf numFmtId="0" fontId="19" fillId="0" borderId="10" xfId="0" applyFont="1" applyBorder="1" applyAlignment="1" applyProtection="1">
      <alignment vertical="top" wrapText="1"/>
      <protection hidden="1"/>
    </xf>
    <xf numFmtId="0" fontId="20" fillId="0" borderId="0" xfId="0" applyFont="1" applyProtection="1">
      <protection hidden="1"/>
    </xf>
    <xf numFmtId="0" fontId="14" fillId="0" borderId="0" xfId="0" applyFont="1" applyAlignment="1" applyProtection="1">
      <alignment horizontal="center" vertical="center"/>
      <protection hidden="1"/>
    </xf>
    <xf numFmtId="0" fontId="15" fillId="0" borderId="0" xfId="0" applyFont="1" applyAlignment="1" applyProtection="1">
      <alignment horizontal="center" vertical="center"/>
      <protection hidden="1"/>
    </xf>
    <xf numFmtId="0" fontId="8" fillId="0" borderId="0" xfId="0" applyFont="1" applyAlignment="1" applyProtection="1">
      <alignment horizontal="left" vertical="center"/>
      <protection hidden="1"/>
    </xf>
    <xf numFmtId="0" fontId="19" fillId="2" borderId="9" xfId="0" applyFont="1" applyFill="1" applyBorder="1" applyAlignment="1" applyProtection="1">
      <alignment horizontal="center" vertical="top" wrapText="1"/>
      <protection hidden="1"/>
    </xf>
    <xf numFmtId="0" fontId="21" fillId="0" borderId="9" xfId="1" applyBorder="1" applyAlignment="1" applyProtection="1">
      <alignment horizontal="center"/>
      <protection locked="0"/>
    </xf>
    <xf numFmtId="0" fontId="20" fillId="0" borderId="9" xfId="0" applyFont="1" applyBorder="1" applyAlignment="1" applyProtection="1">
      <alignment horizontal="center"/>
      <protection locked="0"/>
    </xf>
    <xf numFmtId="14" fontId="2" fillId="0" borderId="9" xfId="0" applyNumberFormat="1" applyFont="1" applyBorder="1" applyAlignment="1" applyProtection="1">
      <alignment horizontal="center"/>
      <protection locked="0"/>
    </xf>
    <xf numFmtId="0" fontId="1" fillId="0" borderId="9" xfId="0" applyFont="1" applyBorder="1" applyAlignment="1" applyProtection="1">
      <alignment horizontal="center"/>
      <protection locked="0"/>
    </xf>
    <xf numFmtId="0" fontId="8" fillId="0" borderId="35" xfId="0" applyFont="1" applyBorder="1" applyAlignment="1" applyProtection="1">
      <alignment horizontal="right" wrapText="1"/>
      <protection hidden="1"/>
    </xf>
    <xf numFmtId="0" fontId="8" fillId="0" borderId="22" xfId="0" applyFont="1" applyBorder="1" applyAlignment="1" applyProtection="1">
      <alignment horizontal="right" wrapText="1"/>
      <protection hidden="1"/>
    </xf>
    <xf numFmtId="1" fontId="8" fillId="0" borderId="37" xfId="0" applyNumberFormat="1" applyFont="1" applyBorder="1" applyAlignment="1" applyProtection="1">
      <alignment horizontal="center"/>
      <protection hidden="1"/>
    </xf>
    <xf numFmtId="49" fontId="9" fillId="0" borderId="38" xfId="0" applyNumberFormat="1" applyFont="1" applyBorder="1" applyAlignment="1" applyProtection="1">
      <alignment horizontal="left" vertical="top" wrapText="1"/>
      <protection hidden="1"/>
    </xf>
    <xf numFmtId="49" fontId="9" fillId="0" borderId="0" xfId="0" applyNumberFormat="1" applyFont="1" applyAlignment="1" applyProtection="1">
      <alignment horizontal="left" vertical="top" wrapText="1"/>
      <protection hidden="1"/>
    </xf>
    <xf numFmtId="0" fontId="9" fillId="0" borderId="30" xfId="0" applyFont="1" applyBorder="1" applyAlignment="1" applyProtection="1">
      <alignment horizontal="center" wrapText="1"/>
      <protection locked="0"/>
    </xf>
    <xf numFmtId="0" fontId="9" fillId="0" borderId="9" xfId="0" applyFont="1" applyBorder="1" applyAlignment="1" applyProtection="1">
      <alignment horizontal="center" wrapText="1"/>
      <protection locked="0"/>
    </xf>
    <xf numFmtId="0" fontId="9" fillId="0" borderId="12" xfId="0" applyFont="1" applyBorder="1" applyAlignment="1" applyProtection="1">
      <alignment horizontal="center" wrapText="1"/>
      <protection locked="0"/>
    </xf>
    <xf numFmtId="0" fontId="9" fillId="0" borderId="13" xfId="0" applyFont="1" applyBorder="1" applyAlignment="1" applyProtection="1">
      <alignment horizontal="center" wrapText="1"/>
      <protection locked="0"/>
    </xf>
    <xf numFmtId="0" fontId="9" fillId="0" borderId="14" xfId="0" applyFont="1" applyBorder="1" applyAlignment="1" applyProtection="1">
      <alignment horizontal="center" wrapText="1"/>
      <protection locked="0"/>
    </xf>
    <xf numFmtId="0" fontId="9" fillId="0" borderId="15" xfId="0" applyFont="1" applyBorder="1" applyAlignment="1" applyProtection="1">
      <alignment horizontal="center" wrapText="1"/>
      <protection locked="0"/>
    </xf>
    <xf numFmtId="0" fontId="9" fillId="0" borderId="10" xfId="0" applyFont="1" applyBorder="1" applyAlignment="1" applyProtection="1">
      <alignment horizontal="center" wrapText="1"/>
      <protection locked="0"/>
    </xf>
    <xf numFmtId="0" fontId="4" fillId="2" borderId="32" xfId="0" applyFont="1" applyFill="1" applyBorder="1" applyAlignment="1" applyProtection="1">
      <alignment horizontal="left" wrapText="1"/>
      <protection hidden="1"/>
    </xf>
    <xf numFmtId="0" fontId="4" fillId="2" borderId="34" xfId="0" applyFont="1" applyFill="1" applyBorder="1" applyAlignment="1" applyProtection="1">
      <alignment horizontal="left" wrapText="1"/>
      <protection hidden="1"/>
    </xf>
    <xf numFmtId="0" fontId="9" fillId="0" borderId="19" xfId="0" applyFont="1" applyBorder="1" applyAlignment="1" applyProtection="1">
      <alignment horizontal="center" wrapText="1"/>
      <protection locked="0"/>
    </xf>
    <xf numFmtId="0" fontId="8" fillId="0" borderId="33" xfId="0" applyFont="1" applyBorder="1" applyAlignment="1" applyProtection="1">
      <alignment horizontal="left" wrapText="1"/>
      <protection hidden="1"/>
    </xf>
    <xf numFmtId="0" fontId="8" fillId="0" borderId="9" xfId="0" applyFont="1" applyBorder="1" applyAlignment="1" applyProtection="1">
      <alignment horizontal="left" wrapText="1"/>
      <protection hidden="1"/>
    </xf>
    <xf numFmtId="0" fontId="9" fillId="0" borderId="48" xfId="0" applyFont="1" applyBorder="1" applyAlignment="1" applyProtection="1">
      <alignment horizontal="center"/>
      <protection hidden="1"/>
    </xf>
    <xf numFmtId="0" fontId="9" fillId="0" borderId="58" xfId="0" applyFont="1" applyBorder="1" applyAlignment="1" applyProtection="1">
      <alignment horizontal="center"/>
      <protection hidden="1"/>
    </xf>
    <xf numFmtId="0" fontId="9" fillId="0" borderId="48" xfId="0" applyFont="1" applyBorder="1" applyAlignment="1" applyProtection="1">
      <alignment horizontal="center" vertical="center"/>
      <protection hidden="1"/>
    </xf>
    <xf numFmtId="0" fontId="9" fillId="0" borderId="58" xfId="0" applyFont="1" applyBorder="1" applyAlignment="1" applyProtection="1">
      <alignment horizontal="center" vertical="center"/>
      <protection hidden="1"/>
    </xf>
    <xf numFmtId="0" fontId="8" fillId="2" borderId="41" xfId="0" applyFont="1" applyFill="1" applyBorder="1" applyAlignment="1" applyProtection="1">
      <alignment horizontal="center"/>
      <protection hidden="1"/>
    </xf>
    <xf numFmtId="0" fontId="8" fillId="2" borderId="47" xfId="0" applyFont="1" applyFill="1" applyBorder="1" applyAlignment="1" applyProtection="1">
      <alignment horizontal="center"/>
      <protection hidden="1"/>
    </xf>
    <xf numFmtId="0" fontId="8" fillId="0" borderId="35" xfId="0" applyFont="1" applyBorder="1" applyAlignment="1" applyProtection="1">
      <alignment horizontal="left" wrapText="1"/>
      <protection hidden="1"/>
    </xf>
    <xf numFmtId="0" fontId="8" fillId="0" borderId="22" xfId="0" applyFont="1" applyBorder="1" applyAlignment="1" applyProtection="1">
      <alignment horizontal="left" wrapText="1"/>
      <protection hidden="1"/>
    </xf>
    <xf numFmtId="0" fontId="8" fillId="0" borderId="12" xfId="0" applyFont="1" applyBorder="1" applyAlignment="1" applyProtection="1">
      <alignment horizontal="center" wrapText="1"/>
      <protection hidden="1"/>
    </xf>
    <xf numFmtId="0" fontId="8" fillId="0" borderId="67" xfId="0" applyFont="1" applyBorder="1" applyAlignment="1" applyProtection="1">
      <alignment horizontal="center" wrapText="1"/>
      <protection hidden="1"/>
    </xf>
    <xf numFmtId="0" fontId="8" fillId="0" borderId="13" xfId="0" applyFont="1" applyBorder="1" applyAlignment="1" applyProtection="1">
      <alignment horizontal="center" wrapText="1"/>
      <protection hidden="1"/>
    </xf>
    <xf numFmtId="0" fontId="8" fillId="0" borderId="11" xfId="0" applyFont="1" applyBorder="1" applyAlignment="1" applyProtection="1">
      <alignment horizontal="center" wrapText="1"/>
      <protection hidden="1"/>
    </xf>
    <xf numFmtId="0" fontId="8" fillId="0" borderId="0" xfId="0" applyFont="1" applyAlignment="1" applyProtection="1">
      <alignment horizontal="center" wrapText="1"/>
      <protection hidden="1"/>
    </xf>
    <xf numFmtId="0" fontId="8" fillId="0" borderId="16" xfId="0" applyFont="1" applyBorder="1" applyAlignment="1" applyProtection="1">
      <alignment horizontal="center" wrapText="1"/>
      <protection hidden="1"/>
    </xf>
    <xf numFmtId="0" fontId="9" fillId="0" borderId="0" xfId="0" applyFont="1" applyAlignment="1" applyProtection="1">
      <alignment horizontal="left" vertical="top" wrapText="1"/>
      <protection hidden="1"/>
    </xf>
    <xf numFmtId="0" fontId="4" fillId="0" borderId="12" xfId="0" applyFont="1" applyBorder="1" applyAlignment="1" applyProtection="1">
      <alignment horizontal="left" vertical="top" wrapText="1"/>
      <protection hidden="1"/>
    </xf>
    <xf numFmtId="0" fontId="4" fillId="0" borderId="67" xfId="0" applyFont="1" applyBorder="1" applyAlignment="1" applyProtection="1">
      <alignment horizontal="left" vertical="top" wrapText="1"/>
      <protection hidden="1"/>
    </xf>
    <xf numFmtId="0" fontId="4" fillId="0" borderId="13" xfId="0" applyFont="1" applyBorder="1" applyAlignment="1" applyProtection="1">
      <alignment horizontal="left" vertical="top" wrapText="1"/>
      <protection hidden="1"/>
    </xf>
    <xf numFmtId="0" fontId="4" fillId="0" borderId="11" xfId="0" applyFont="1" applyBorder="1" applyAlignment="1" applyProtection="1">
      <alignment horizontal="left" vertical="top" wrapText="1"/>
      <protection hidden="1"/>
    </xf>
    <xf numFmtId="0" fontId="4" fillId="0" borderId="0" xfId="0" applyFont="1" applyAlignment="1" applyProtection="1">
      <alignment horizontal="left" vertical="top" wrapText="1"/>
      <protection hidden="1"/>
    </xf>
    <xf numFmtId="0" fontId="4" fillId="0" borderId="16" xfId="0" applyFont="1" applyBorder="1" applyAlignment="1" applyProtection="1">
      <alignment horizontal="left" vertical="top" wrapText="1"/>
      <protection hidden="1"/>
    </xf>
    <xf numFmtId="0" fontId="4" fillId="0" borderId="14" xfId="0" applyFont="1" applyBorder="1" applyAlignment="1" applyProtection="1">
      <alignment horizontal="left" vertical="top" wrapText="1"/>
      <protection hidden="1"/>
    </xf>
    <xf numFmtId="0" fontId="4" fillId="0" borderId="66" xfId="0" applyFont="1" applyBorder="1" applyAlignment="1" applyProtection="1">
      <alignment horizontal="left" vertical="top" wrapText="1"/>
      <protection hidden="1"/>
    </xf>
    <xf numFmtId="0" fontId="4" fillId="0" borderId="15" xfId="0" applyFont="1" applyBorder="1" applyAlignment="1" applyProtection="1">
      <alignment horizontal="left" vertical="top" wrapText="1"/>
      <protection hidden="1"/>
    </xf>
    <xf numFmtId="0" fontId="8" fillId="2" borderId="60" xfId="0" applyFont="1" applyFill="1" applyBorder="1" applyAlignment="1" applyProtection="1">
      <alignment horizontal="center" vertical="center"/>
      <protection hidden="1"/>
    </xf>
    <xf numFmtId="0" fontId="8" fillId="2" borderId="61" xfId="0" applyFont="1" applyFill="1" applyBorder="1" applyAlignment="1" applyProtection="1">
      <alignment horizontal="center" vertical="center"/>
      <protection hidden="1"/>
    </xf>
    <xf numFmtId="0" fontId="8" fillId="2" borderId="62" xfId="0" applyFont="1" applyFill="1" applyBorder="1" applyAlignment="1" applyProtection="1">
      <alignment horizontal="center" vertical="center"/>
      <protection hidden="1"/>
    </xf>
    <xf numFmtId="0" fontId="8" fillId="2" borderId="25" xfId="0" applyFont="1" applyFill="1" applyBorder="1" applyAlignment="1" applyProtection="1">
      <alignment horizontal="center" vertical="center"/>
      <protection hidden="1"/>
    </xf>
    <xf numFmtId="0" fontId="8" fillId="2" borderId="24" xfId="0" applyFont="1" applyFill="1" applyBorder="1" applyAlignment="1" applyProtection="1">
      <alignment horizontal="center" vertical="center"/>
      <protection hidden="1"/>
    </xf>
    <xf numFmtId="0" fontId="8" fillId="2" borderId="11" xfId="0" applyFont="1" applyFill="1" applyBorder="1" applyAlignment="1" applyProtection="1">
      <alignment horizontal="center" vertical="center"/>
      <protection hidden="1"/>
    </xf>
    <xf numFmtId="0" fontId="8" fillId="2" borderId="16" xfId="0" applyFont="1" applyFill="1" applyBorder="1" applyAlignment="1" applyProtection="1">
      <alignment horizontal="center" vertical="center"/>
      <protection hidden="1"/>
    </xf>
    <xf numFmtId="0" fontId="8" fillId="2" borderId="14" xfId="0" applyFont="1" applyFill="1" applyBorder="1" applyAlignment="1" applyProtection="1">
      <alignment horizontal="center" vertical="center"/>
      <protection hidden="1"/>
    </xf>
    <xf numFmtId="0" fontId="8" fillId="2" borderId="15" xfId="0" applyFont="1" applyFill="1" applyBorder="1" applyAlignment="1" applyProtection="1">
      <alignment horizontal="center" vertical="center"/>
      <protection hidden="1"/>
    </xf>
    <xf numFmtId="0" fontId="8" fillId="2" borderId="25" xfId="0" applyFont="1" applyFill="1" applyBorder="1" applyAlignment="1" applyProtection="1">
      <alignment horizontal="center" vertical="center" wrapText="1"/>
      <protection hidden="1"/>
    </xf>
    <xf numFmtId="0" fontId="8" fillId="2" borderId="24" xfId="0" applyFont="1" applyFill="1" applyBorder="1" applyAlignment="1" applyProtection="1">
      <alignment horizontal="center" vertical="center" wrapText="1"/>
      <protection hidden="1"/>
    </xf>
    <xf numFmtId="0" fontId="8" fillId="2" borderId="11" xfId="0" applyFont="1" applyFill="1" applyBorder="1" applyAlignment="1" applyProtection="1">
      <alignment horizontal="center" vertical="center" wrapText="1"/>
      <protection hidden="1"/>
    </xf>
    <xf numFmtId="0" fontId="8" fillId="2" borderId="16" xfId="0" applyFont="1" applyFill="1" applyBorder="1" applyAlignment="1" applyProtection="1">
      <alignment horizontal="center" vertical="center" wrapText="1"/>
      <protection hidden="1"/>
    </xf>
    <xf numFmtId="0" fontId="8" fillId="2" borderId="14" xfId="0" applyFont="1" applyFill="1" applyBorder="1" applyAlignment="1" applyProtection="1">
      <alignment horizontal="center" vertical="center" wrapText="1"/>
      <protection hidden="1"/>
    </xf>
    <xf numFmtId="0" fontId="8" fillId="2" borderId="15" xfId="0" applyFont="1" applyFill="1" applyBorder="1" applyAlignment="1" applyProtection="1">
      <alignment horizontal="center" vertical="center" wrapText="1"/>
      <protection hidden="1"/>
    </xf>
    <xf numFmtId="0" fontId="8" fillId="2" borderId="23" xfId="0" applyFont="1" applyFill="1" applyBorder="1" applyAlignment="1" applyProtection="1">
      <alignment horizontal="center" vertical="center"/>
      <protection hidden="1"/>
    </xf>
    <xf numFmtId="0" fontId="8" fillId="2" borderId="29" xfId="0" applyFont="1" applyFill="1" applyBorder="1" applyAlignment="1" applyProtection="1">
      <alignment horizontal="center" vertical="center"/>
      <protection hidden="1"/>
    </xf>
    <xf numFmtId="0" fontId="8" fillId="2" borderId="31" xfId="0" applyFont="1" applyFill="1" applyBorder="1" applyAlignment="1" applyProtection="1">
      <alignment horizontal="center" vertical="center"/>
      <protection hidden="1"/>
    </xf>
    <xf numFmtId="0" fontId="4" fillId="2" borderId="17" xfId="0" applyFont="1" applyFill="1" applyBorder="1" applyAlignment="1" applyProtection="1">
      <alignment horizontal="left" wrapText="1"/>
      <protection hidden="1"/>
    </xf>
    <xf numFmtId="0" fontId="4" fillId="2" borderId="18" xfId="0" applyFont="1" applyFill="1" applyBorder="1" applyAlignment="1" applyProtection="1">
      <alignment horizontal="left" wrapText="1"/>
      <protection hidden="1"/>
    </xf>
    <xf numFmtId="0" fontId="4" fillId="2" borderId="20" xfId="0" applyFont="1" applyFill="1" applyBorder="1" applyAlignment="1" applyProtection="1">
      <alignment horizontal="left" vertical="top" wrapText="1"/>
      <protection hidden="1"/>
    </xf>
    <xf numFmtId="0" fontId="4" fillId="2" borderId="21" xfId="0" applyFont="1" applyFill="1" applyBorder="1" applyAlignment="1" applyProtection="1">
      <alignment horizontal="left" vertical="top" wrapText="1"/>
      <protection hidden="1"/>
    </xf>
    <xf numFmtId="0" fontId="6" fillId="2" borderId="26" xfId="0" applyFont="1" applyFill="1" applyBorder="1" applyAlignment="1" applyProtection="1">
      <alignment horizontal="left" wrapText="1"/>
      <protection hidden="1"/>
    </xf>
    <xf numFmtId="0" fontId="6" fillId="2" borderId="27" xfId="0" applyFont="1" applyFill="1" applyBorder="1" applyAlignment="1" applyProtection="1">
      <alignment horizontal="left" wrapText="1"/>
      <protection hidden="1"/>
    </xf>
    <xf numFmtId="0" fontId="6" fillId="2" borderId="28" xfId="0" applyFont="1" applyFill="1" applyBorder="1" applyAlignment="1" applyProtection="1">
      <alignment horizontal="left" wrapText="1"/>
      <protection hidden="1"/>
    </xf>
    <xf numFmtId="0" fontId="9" fillId="0" borderId="0" xfId="0" applyFont="1" applyAlignment="1" applyProtection="1">
      <alignment horizontal="left" wrapText="1"/>
      <protection hidden="1"/>
    </xf>
    <xf numFmtId="0" fontId="8" fillId="0" borderId="53" xfId="0" applyFont="1" applyBorder="1" applyAlignment="1" applyProtection="1">
      <alignment horizontal="left" vertical="center"/>
      <protection hidden="1"/>
    </xf>
    <xf numFmtId="0" fontId="8" fillId="0" borderId="54" xfId="0" applyFont="1" applyBorder="1" applyAlignment="1" applyProtection="1">
      <alignment horizontal="left" vertical="center"/>
      <protection hidden="1"/>
    </xf>
    <xf numFmtId="0" fontId="8" fillId="0" borderId="55" xfId="0" applyFont="1" applyBorder="1" applyAlignment="1" applyProtection="1">
      <alignment horizontal="left" vertical="center"/>
      <protection hidden="1"/>
    </xf>
    <xf numFmtId="0" fontId="8" fillId="0" borderId="56" xfId="0" applyFont="1" applyBorder="1" applyAlignment="1" applyProtection="1">
      <alignment horizontal="left" vertical="center"/>
      <protection hidden="1"/>
    </xf>
    <xf numFmtId="0" fontId="8" fillId="0" borderId="57" xfId="0" applyFont="1" applyBorder="1" applyAlignment="1" applyProtection="1">
      <alignment horizontal="left" vertical="center"/>
      <protection hidden="1"/>
    </xf>
    <xf numFmtId="0" fontId="8" fillId="0" borderId="58" xfId="0" applyFont="1" applyBorder="1" applyAlignment="1" applyProtection="1">
      <alignment horizontal="left" vertical="center"/>
      <protection hidden="1"/>
    </xf>
    <xf numFmtId="0" fontId="9" fillId="0" borderId="10" xfId="0" applyFont="1" applyBorder="1" applyAlignment="1" applyProtection="1">
      <alignment horizontal="center" vertical="center"/>
      <protection hidden="1"/>
    </xf>
    <xf numFmtId="0" fontId="9" fillId="0" borderId="55" xfId="0" applyFont="1" applyBorder="1" applyAlignment="1" applyProtection="1">
      <alignment horizontal="center" vertical="center"/>
      <protection hidden="1"/>
    </xf>
    <xf numFmtId="0" fontId="9" fillId="0" borderId="10" xfId="0" applyFont="1" applyBorder="1" applyAlignment="1" applyProtection="1">
      <alignment horizontal="center" vertical="center" wrapText="1"/>
      <protection hidden="1"/>
    </xf>
    <xf numFmtId="0" fontId="9" fillId="0" borderId="55" xfId="0" applyFont="1" applyBorder="1" applyAlignment="1" applyProtection="1">
      <alignment horizontal="center" vertical="center" wrapText="1"/>
      <protection hidden="1"/>
    </xf>
    <xf numFmtId="0" fontId="9" fillId="0" borderId="49" xfId="0" applyFont="1" applyBorder="1" applyAlignment="1" applyProtection="1">
      <alignment horizontal="center" vertical="center"/>
      <protection hidden="1"/>
    </xf>
    <xf numFmtId="0" fontId="9" fillId="0" borderId="52" xfId="0" applyFont="1" applyBorder="1" applyAlignment="1" applyProtection="1">
      <alignment horizontal="center" vertical="center"/>
      <protection hidden="1"/>
    </xf>
    <xf numFmtId="0" fontId="8" fillId="0" borderId="40" xfId="0" applyFont="1" applyBorder="1" applyAlignment="1" applyProtection="1">
      <alignment horizontal="center"/>
      <protection hidden="1"/>
    </xf>
    <xf numFmtId="0" fontId="8" fillId="0" borderId="42" xfId="0" applyFont="1" applyBorder="1" applyAlignment="1" applyProtection="1">
      <alignment horizontal="center"/>
      <protection hidden="1"/>
    </xf>
    <xf numFmtId="0" fontId="9" fillId="0" borderId="10" xfId="0" applyFont="1" applyBorder="1" applyAlignment="1" applyProtection="1">
      <alignment horizontal="center"/>
      <protection hidden="1"/>
    </xf>
    <xf numFmtId="0" fontId="9" fillId="0" borderId="55" xfId="0" applyFont="1" applyBorder="1" applyAlignment="1" applyProtection="1">
      <alignment horizontal="center"/>
      <protection hidden="1"/>
    </xf>
    <xf numFmtId="0" fontId="9" fillId="0" borderId="49" xfId="0" applyFont="1" applyBorder="1" applyAlignment="1" applyProtection="1">
      <alignment horizontal="center"/>
      <protection hidden="1"/>
    </xf>
    <xf numFmtId="0" fontId="9" fillId="0" borderId="52" xfId="0" applyFont="1" applyBorder="1" applyAlignment="1" applyProtection="1">
      <alignment horizontal="center"/>
      <protection hidden="1"/>
    </xf>
    <xf numFmtId="0" fontId="9" fillId="0" borderId="50" xfId="0" applyFont="1" applyBorder="1" applyAlignment="1" applyProtection="1">
      <alignment horizontal="center" vertical="center"/>
      <protection hidden="1"/>
    </xf>
    <xf numFmtId="0" fontId="9" fillId="0" borderId="53" xfId="0" applyFont="1" applyBorder="1" applyAlignment="1" applyProtection="1">
      <alignment horizontal="center" vertical="center"/>
      <protection hidden="1"/>
    </xf>
    <xf numFmtId="0" fontId="9" fillId="0" borderId="56" xfId="0" applyFont="1" applyBorder="1" applyAlignment="1" applyProtection="1">
      <alignment horizontal="center" vertical="center"/>
      <protection hidden="1"/>
    </xf>
    <xf numFmtId="0" fontId="9" fillId="0" borderId="72" xfId="0" applyFont="1" applyBorder="1" applyAlignment="1" applyProtection="1">
      <alignment horizontal="left"/>
      <protection hidden="1"/>
    </xf>
    <xf numFmtId="0" fontId="9" fillId="0" borderId="5" xfId="0" applyFont="1" applyBorder="1" applyAlignment="1" applyProtection="1">
      <alignment horizontal="left"/>
      <protection hidden="1"/>
    </xf>
    <xf numFmtId="0" fontId="16" fillId="2" borderId="0" xfId="0" applyFont="1" applyFill="1" applyAlignment="1" applyProtection="1">
      <alignment horizontal="left" vertical="center"/>
      <protection hidden="1"/>
    </xf>
    <xf numFmtId="0" fontId="5" fillId="2" borderId="0" xfId="0" applyFont="1" applyFill="1" applyAlignment="1" applyProtection="1">
      <alignment horizontal="left" vertical="center"/>
      <protection hidden="1"/>
    </xf>
    <xf numFmtId="0" fontId="9" fillId="0" borderId="72" xfId="0" applyFont="1" applyBorder="1" applyAlignment="1" applyProtection="1">
      <alignment horizontal="left" wrapText="1"/>
      <protection hidden="1"/>
    </xf>
    <xf numFmtId="0" fontId="9" fillId="0" borderId="65" xfId="0" applyFont="1" applyBorder="1" applyAlignment="1" applyProtection="1">
      <alignment horizontal="left" wrapText="1"/>
      <protection hidden="1"/>
    </xf>
    <xf numFmtId="0" fontId="9" fillId="0" borderId="5" xfId="0" applyFont="1" applyBorder="1" applyAlignment="1" applyProtection="1">
      <alignment horizontal="left" wrapText="1"/>
      <protection hidden="1"/>
    </xf>
    <xf numFmtId="0" fontId="9" fillId="0" borderId="68" xfId="0" applyFont="1" applyBorder="1" applyAlignment="1" applyProtection="1">
      <alignment horizontal="left"/>
      <protection hidden="1"/>
    </xf>
    <xf numFmtId="0" fontId="9" fillId="0" borderId="1" xfId="0" applyFont="1" applyBorder="1" applyAlignment="1" applyProtection="1">
      <alignment horizontal="left"/>
      <protection hidden="1"/>
    </xf>
    <xf numFmtId="0" fontId="9" fillId="0" borderId="68" xfId="0" applyFont="1" applyBorder="1" applyAlignment="1" applyProtection="1">
      <alignment horizontal="left" wrapText="1"/>
      <protection hidden="1"/>
    </xf>
    <xf numFmtId="0" fontId="9" fillId="0" borderId="1" xfId="0" applyFont="1" applyBorder="1" applyAlignment="1" applyProtection="1">
      <alignment horizontal="left" wrapText="1"/>
      <protection hidden="1"/>
    </xf>
    <xf numFmtId="0" fontId="8" fillId="2" borderId="38" xfId="0" applyFont="1" applyFill="1" applyBorder="1" applyAlignment="1" applyProtection="1">
      <alignment horizontal="center" vertical="center"/>
      <protection hidden="1"/>
    </xf>
    <xf numFmtId="0" fontId="8" fillId="2" borderId="63" xfId="0" applyFont="1" applyFill="1" applyBorder="1" applyAlignment="1" applyProtection="1">
      <alignment horizontal="center" vertical="center"/>
      <protection hidden="1"/>
    </xf>
    <xf numFmtId="0" fontId="9" fillId="0" borderId="35" xfId="0" applyFont="1" applyBorder="1" applyAlignment="1" applyProtection="1">
      <alignment horizontal="center" vertical="center"/>
      <protection hidden="1"/>
    </xf>
    <xf numFmtId="0" fontId="9" fillId="0" borderId="22" xfId="0" applyFont="1" applyBorder="1" applyAlignment="1" applyProtection="1">
      <alignment horizontal="center" vertical="center"/>
      <protection hidden="1"/>
    </xf>
    <xf numFmtId="0" fontId="9" fillId="0" borderId="33" xfId="0" applyFont="1" applyBorder="1" applyAlignment="1" applyProtection="1">
      <alignment horizontal="center" vertical="center"/>
      <protection hidden="1"/>
    </xf>
    <xf numFmtId="0" fontId="9" fillId="0" borderId="9" xfId="0" applyFont="1" applyBorder="1" applyAlignment="1" applyProtection="1">
      <alignment horizontal="center" vertical="center"/>
      <protection hidden="1"/>
    </xf>
    <xf numFmtId="0" fontId="9" fillId="0" borderId="45" xfId="0" applyFont="1" applyBorder="1" applyAlignment="1" applyProtection="1">
      <alignment horizontal="center" vertical="center"/>
      <protection hidden="1"/>
    </xf>
    <xf numFmtId="0" fontId="9" fillId="0" borderId="27" xfId="0" applyFont="1" applyBorder="1" applyAlignment="1" applyProtection="1">
      <alignment horizontal="center" vertical="center"/>
      <protection hidden="1"/>
    </xf>
    <xf numFmtId="0" fontId="9" fillId="0" borderId="22" xfId="0" applyFont="1" applyBorder="1" applyAlignment="1" applyProtection="1">
      <alignment horizontal="left" vertical="center" wrapText="1"/>
      <protection hidden="1"/>
    </xf>
    <xf numFmtId="0" fontId="9" fillId="0" borderId="36" xfId="0" applyFont="1" applyBorder="1" applyAlignment="1" applyProtection="1">
      <alignment horizontal="left" vertical="center" wrapText="1"/>
      <protection hidden="1"/>
    </xf>
    <xf numFmtId="0" fontId="9" fillId="0" borderId="9" xfId="0" applyFont="1" applyBorder="1" applyAlignment="1" applyProtection="1">
      <alignment horizontal="left" vertical="center" wrapText="1"/>
      <protection hidden="1"/>
    </xf>
    <xf numFmtId="0" fontId="9" fillId="0" borderId="30" xfId="0" applyFont="1" applyBorder="1" applyAlignment="1" applyProtection="1">
      <alignment horizontal="left" vertical="center" wrapText="1"/>
      <protection hidden="1"/>
    </xf>
    <xf numFmtId="0" fontId="9" fillId="0" borderId="27" xfId="0" applyFont="1" applyBorder="1" applyAlignment="1" applyProtection="1">
      <alignment horizontal="left" vertical="center" wrapText="1"/>
      <protection hidden="1"/>
    </xf>
    <xf numFmtId="0" fontId="9" fillId="0" borderId="28" xfId="0" applyFont="1" applyBorder="1" applyAlignment="1" applyProtection="1">
      <alignment horizontal="left" vertical="center" wrapText="1"/>
      <protection hidden="1"/>
    </xf>
    <xf numFmtId="0" fontId="8" fillId="0" borderId="50" xfId="0" applyFont="1" applyBorder="1" applyAlignment="1" applyProtection="1">
      <alignment horizontal="left" vertical="center"/>
      <protection hidden="1"/>
    </xf>
    <xf numFmtId="0" fontId="8" fillId="0" borderId="51" xfId="0" applyFont="1" applyBorder="1" applyAlignment="1" applyProtection="1">
      <alignment horizontal="left" vertical="center"/>
      <protection hidden="1"/>
    </xf>
    <xf numFmtId="0" fontId="8" fillId="0" borderId="52" xfId="0" applyFont="1" applyBorder="1" applyAlignment="1" applyProtection="1">
      <alignment horizontal="left" vertical="center"/>
      <protection hidden="1"/>
    </xf>
    <xf numFmtId="0" fontId="8" fillId="0" borderId="40" xfId="0" applyFont="1" applyBorder="1" applyAlignment="1" applyProtection="1">
      <alignment horizontal="center" vertical="center"/>
      <protection hidden="1"/>
    </xf>
    <xf numFmtId="0" fontId="8" fillId="0" borderId="42" xfId="0" applyFont="1" applyBorder="1" applyAlignment="1" applyProtection="1">
      <alignment horizontal="center" vertical="center"/>
      <protection hidden="1"/>
    </xf>
    <xf numFmtId="0" fontId="8" fillId="0" borderId="44" xfId="0" applyFont="1" applyBorder="1" applyAlignment="1" applyProtection="1">
      <alignment horizontal="center" vertical="center"/>
      <protection hidden="1"/>
    </xf>
    <xf numFmtId="0" fontId="8" fillId="4" borderId="9" xfId="0" applyFont="1" applyFill="1" applyBorder="1" applyAlignment="1" applyProtection="1">
      <alignment horizontal="center" vertical="center" wrapText="1"/>
      <protection hidden="1"/>
    </xf>
    <xf numFmtId="0" fontId="8" fillId="0" borderId="66" xfId="0" applyFont="1" applyBorder="1" applyAlignment="1" applyProtection="1">
      <alignment horizontal="center" vertical="top" wrapText="1"/>
      <protection hidden="1"/>
    </xf>
    <xf numFmtId="0" fontId="9" fillId="0" borderId="0" xfId="0" applyFont="1" applyAlignment="1" applyProtection="1">
      <alignment horizontal="center" vertical="top" wrapText="1"/>
      <protection hidden="1"/>
    </xf>
    <xf numFmtId="0" fontId="19" fillId="0" borderId="67" xfId="0" applyFont="1" applyBorder="1" applyAlignment="1" applyProtection="1">
      <alignment horizontal="center" vertical="top" wrapText="1"/>
      <protection hidden="1"/>
    </xf>
    <xf numFmtId="0" fontId="9" fillId="0" borderId="9" xfId="0" applyFont="1" applyBorder="1" applyAlignment="1" applyProtection="1">
      <alignment horizontal="center" vertical="center" wrapText="1"/>
      <protection hidden="1"/>
    </xf>
    <xf numFmtId="0" fontId="8" fillId="4" borderId="10" xfId="0" applyFont="1" applyFill="1" applyBorder="1" applyAlignment="1" applyProtection="1">
      <alignment horizontal="center" vertical="center" wrapText="1"/>
      <protection hidden="1"/>
    </xf>
    <xf numFmtId="0" fontId="8" fillId="4" borderId="54" xfId="0" applyFont="1" applyFill="1" applyBorder="1" applyAlignment="1" applyProtection="1">
      <alignment horizontal="center" vertical="center" wrapText="1"/>
      <protection hidden="1"/>
    </xf>
    <xf numFmtId="0" fontId="1" fillId="0" borderId="0" xfId="0" applyFont="1" applyProtection="1">
      <protection hidden="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41910</xdr:colOff>
      <xdr:row>1</xdr:row>
      <xdr:rowOff>152400</xdr:rowOff>
    </xdr:from>
    <xdr:to>
      <xdr:col>2</xdr:col>
      <xdr:colOff>678180</xdr:colOff>
      <xdr:row>4</xdr:row>
      <xdr:rowOff>220980</xdr:rowOff>
    </xdr:to>
    <xdr:pic>
      <xdr:nvPicPr>
        <xdr:cNvPr id="3" name="Imagen 2">
          <a:extLst>
            <a:ext uri="{FF2B5EF4-FFF2-40B4-BE49-F238E27FC236}">
              <a16:creationId xmlns:a16="http://schemas.microsoft.com/office/drawing/2014/main" id="{96C7CC8F-FF4A-43DE-A3CC-663C967BA619}"/>
            </a:ext>
          </a:extLst>
        </xdr:cNvPr>
        <xdr:cNvPicPr>
          <a:picLocks noChangeAspect="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l="30132" r="30370" b="44595"/>
        <a:stretch/>
      </xdr:blipFill>
      <xdr:spPr bwMode="auto">
        <a:xfrm>
          <a:off x="834390" y="335280"/>
          <a:ext cx="872490" cy="792480"/>
        </a:xfrm>
        <a:prstGeom prst="rect">
          <a:avLst/>
        </a:prstGeom>
        <a:noFill/>
        <a:ln>
          <a:noFill/>
        </a:ln>
        <a:extLst>
          <a:ext uri="{53640926-AAD7-44D8-BBD7-CCE9431645EC}">
            <a14:shadowObscured xmlns:a14="http://schemas.microsoft.com/office/drawing/2010/main"/>
          </a:ext>
        </a:extLst>
      </xdr:spPr>
    </xdr:pic>
    <xdr:clientData/>
  </xdr:twoCellAnchor>
  <xdr:twoCellAnchor>
    <xdr:from>
      <xdr:col>10</xdr:col>
      <xdr:colOff>373380</xdr:colOff>
      <xdr:row>12</xdr:row>
      <xdr:rowOff>76200</xdr:rowOff>
    </xdr:from>
    <xdr:to>
      <xdr:col>11</xdr:col>
      <xdr:colOff>0</xdr:colOff>
      <xdr:row>13</xdr:row>
      <xdr:rowOff>144780</xdr:rowOff>
    </xdr:to>
    <xdr:sp macro="[0]!Reiniciar_Perfil" textlink="">
      <xdr:nvSpPr>
        <xdr:cNvPr id="4" name="Rectángulo 3">
          <a:extLst>
            <a:ext uri="{FF2B5EF4-FFF2-40B4-BE49-F238E27FC236}">
              <a16:creationId xmlns:a16="http://schemas.microsoft.com/office/drawing/2014/main" id="{1002A2FC-811B-43E0-9810-8383D59C614B}"/>
            </a:ext>
          </a:extLst>
        </xdr:cNvPr>
        <xdr:cNvSpPr/>
      </xdr:nvSpPr>
      <xdr:spPr>
        <a:xfrm>
          <a:off x="9121140" y="2735580"/>
          <a:ext cx="1356360" cy="251460"/>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s-MX" sz="1100" b="1"/>
            <a:t>REINICIAR PERFIL</a:t>
          </a:r>
        </a:p>
      </xdr:txBody>
    </xdr: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c9111996@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C5F20-45D3-43D9-8FA3-C286B2ADCDED}">
  <sheetPr>
    <pageSetUpPr fitToPage="1"/>
  </sheetPr>
  <dimension ref="A2:O165"/>
  <sheetViews>
    <sheetView showGridLines="0" tabSelected="1" topLeftCell="A142" zoomScaleNormal="100" workbookViewId="0">
      <selection activeCell="E163" sqref="E163"/>
    </sheetView>
  </sheetViews>
  <sheetFormatPr baseColWidth="10" defaultColWidth="11.44140625" defaultRowHeight="14.4" x14ac:dyDescent="0.3"/>
  <cols>
    <col min="1" max="1" width="11.44140625" style="7"/>
    <col min="2" max="2" width="3.44140625" style="7" customWidth="1"/>
    <col min="3" max="3" width="22.44140625" style="7" customWidth="1"/>
    <col min="4" max="4" width="11.44140625" style="7" customWidth="1"/>
    <col min="5" max="6" width="11.44140625" style="7"/>
    <col min="7" max="7" width="3.44140625" style="7" customWidth="1"/>
    <col min="8" max="8" width="25.44140625" style="7" customWidth="1"/>
    <col min="9" max="9" width="11.44140625" style="7"/>
    <col min="10" max="10" width="14.6640625" style="7" customWidth="1"/>
    <col min="11" max="11" width="25.33203125" style="7" customWidth="1"/>
    <col min="12" max="16384" width="11.44140625" style="7"/>
  </cols>
  <sheetData>
    <row r="2" spans="2:15" ht="25.8" x14ac:dyDescent="0.3">
      <c r="B2" s="72" t="s">
        <v>124</v>
      </c>
      <c r="C2" s="72"/>
      <c r="D2" s="72"/>
      <c r="E2" s="72"/>
      <c r="F2" s="72"/>
      <c r="G2" s="72"/>
      <c r="H2" s="72"/>
      <c r="I2" s="72"/>
      <c r="J2" s="72"/>
      <c r="K2" s="72"/>
    </row>
    <row r="3" spans="2:15" ht="15.6" x14ac:dyDescent="0.3">
      <c r="B3" s="73" t="s">
        <v>125</v>
      </c>
      <c r="C3" s="73"/>
      <c r="D3" s="73"/>
      <c r="E3" s="73"/>
      <c r="F3" s="73"/>
      <c r="G3" s="73"/>
      <c r="H3" s="73"/>
      <c r="I3" s="73"/>
      <c r="J3" s="73"/>
      <c r="K3" s="73"/>
    </row>
    <row r="4" spans="2:15" ht="15.6" x14ac:dyDescent="0.3">
      <c r="B4" s="73" t="s">
        <v>126</v>
      </c>
      <c r="C4" s="73"/>
      <c r="D4" s="73"/>
      <c r="E4" s="73"/>
      <c r="F4" s="73"/>
      <c r="G4" s="73"/>
      <c r="H4" s="73"/>
      <c r="I4" s="73"/>
      <c r="J4" s="73"/>
      <c r="K4" s="73"/>
    </row>
    <row r="5" spans="2:15" ht="25.8" x14ac:dyDescent="0.3">
      <c r="B5" s="72" t="s">
        <v>127</v>
      </c>
      <c r="C5" s="72"/>
      <c r="D5" s="72"/>
      <c r="E5" s="72"/>
      <c r="F5" s="72"/>
      <c r="G5" s="72"/>
      <c r="H5" s="72"/>
      <c r="I5" s="72"/>
      <c r="J5" s="72"/>
      <c r="K5" s="72"/>
    </row>
    <row r="6" spans="2:15" ht="19.2" x14ac:dyDescent="0.3">
      <c r="B6" s="8" t="s">
        <v>0</v>
      </c>
      <c r="C6" s="9"/>
      <c r="D6" s="9"/>
      <c r="E6" s="9"/>
      <c r="F6" s="9"/>
      <c r="G6" s="9"/>
      <c r="H6" s="9"/>
      <c r="I6" s="9"/>
      <c r="J6" s="9"/>
      <c r="K6" s="9"/>
    </row>
    <row r="7" spans="2:15" ht="14.55" customHeight="1" x14ac:dyDescent="0.3">
      <c r="B7" s="111" t="s">
        <v>28</v>
      </c>
      <c r="C7" s="111"/>
      <c r="D7" s="111"/>
      <c r="E7" s="111"/>
      <c r="F7" s="111"/>
      <c r="G7" s="111"/>
      <c r="H7" s="111"/>
      <c r="I7" s="111"/>
      <c r="J7" s="111"/>
      <c r="K7" s="111"/>
      <c r="L7" s="10"/>
      <c r="M7" s="10"/>
      <c r="N7" s="10"/>
      <c r="O7" s="10"/>
    </row>
    <row r="8" spans="2:15" x14ac:dyDescent="0.3">
      <c r="B8" s="111"/>
      <c r="C8" s="111"/>
      <c r="D8" s="111"/>
      <c r="E8" s="111"/>
      <c r="F8" s="111"/>
      <c r="G8" s="111"/>
      <c r="H8" s="111"/>
      <c r="I8" s="111"/>
      <c r="J8" s="111"/>
      <c r="K8" s="111"/>
      <c r="L8" s="10"/>
      <c r="M8" s="10"/>
      <c r="N8" s="10"/>
      <c r="O8" s="10"/>
    </row>
    <row r="9" spans="2:15" x14ac:dyDescent="0.3">
      <c r="B9" s="111"/>
      <c r="C9" s="111"/>
      <c r="D9" s="111"/>
      <c r="E9" s="111"/>
      <c r="F9" s="111"/>
      <c r="G9" s="111"/>
      <c r="H9" s="111"/>
      <c r="I9" s="111"/>
      <c r="J9" s="111"/>
      <c r="K9" s="111"/>
      <c r="L9" s="10"/>
      <c r="M9" s="10"/>
      <c r="N9" s="10"/>
      <c r="O9" s="10"/>
    </row>
    <row r="10" spans="2:15" x14ac:dyDescent="0.3">
      <c r="B10" s="111"/>
      <c r="C10" s="111"/>
      <c r="D10" s="111"/>
      <c r="E10" s="111"/>
      <c r="F10" s="111"/>
      <c r="G10" s="111"/>
      <c r="H10" s="111"/>
      <c r="I10" s="111"/>
      <c r="J10" s="111"/>
      <c r="K10" s="111"/>
      <c r="L10" s="10"/>
      <c r="M10" s="10"/>
      <c r="N10" s="10"/>
      <c r="O10" s="10"/>
    </row>
    <row r="11" spans="2:15" x14ac:dyDescent="0.3">
      <c r="B11" s="111"/>
      <c r="C11" s="111"/>
      <c r="D11" s="111"/>
      <c r="E11" s="111"/>
      <c r="F11" s="111"/>
      <c r="G11" s="111"/>
      <c r="H11" s="111"/>
      <c r="I11" s="111"/>
      <c r="J11" s="111"/>
      <c r="K11" s="111"/>
      <c r="L11" s="11"/>
      <c r="M11" s="11"/>
      <c r="N11" s="11"/>
      <c r="O11" s="11"/>
    </row>
    <row r="12" spans="2:15" ht="21" x14ac:dyDescent="0.3">
      <c r="B12" s="12" t="s">
        <v>1</v>
      </c>
      <c r="C12" s="13"/>
      <c r="D12" s="13"/>
      <c r="E12" s="13"/>
      <c r="F12" s="13"/>
      <c r="G12" s="13"/>
      <c r="H12" s="13"/>
      <c r="I12" s="13"/>
      <c r="J12" s="13"/>
      <c r="K12" s="13"/>
    </row>
    <row r="13" spans="2:15" x14ac:dyDescent="0.3">
      <c r="B13" s="14" t="s">
        <v>128</v>
      </c>
    </row>
    <row r="15" spans="2:15" ht="14.55" customHeight="1" x14ac:dyDescent="0.3">
      <c r="B15" s="105" t="s">
        <v>2</v>
      </c>
      <c r="C15" s="106"/>
      <c r="D15" s="106"/>
      <c r="E15" s="107"/>
      <c r="G15" s="105" t="s">
        <v>13</v>
      </c>
      <c r="H15" s="106"/>
      <c r="I15" s="106"/>
      <c r="J15" s="107"/>
    </row>
    <row r="16" spans="2:15" ht="13.2" customHeight="1" x14ac:dyDescent="0.3">
      <c r="B16" s="108"/>
      <c r="C16" s="109"/>
      <c r="D16" s="109"/>
      <c r="E16" s="110"/>
      <c r="G16" s="108"/>
      <c r="H16" s="109"/>
      <c r="I16" s="109"/>
      <c r="J16" s="110"/>
    </row>
    <row r="17" spans="1:10" x14ac:dyDescent="0.3">
      <c r="B17" s="15" t="s">
        <v>3</v>
      </c>
      <c r="C17" s="16" t="s">
        <v>7</v>
      </c>
      <c r="D17" s="1"/>
      <c r="E17" s="17"/>
      <c r="G17" s="15" t="s">
        <v>3</v>
      </c>
      <c r="H17" s="16" t="s">
        <v>14</v>
      </c>
      <c r="I17" s="1"/>
      <c r="J17" s="17"/>
    </row>
    <row r="18" spans="1:10" x14ac:dyDescent="0.3">
      <c r="B18" s="15" t="s">
        <v>4</v>
      </c>
      <c r="C18" s="18" t="s">
        <v>8</v>
      </c>
      <c r="D18" s="2"/>
      <c r="E18" s="19"/>
      <c r="G18" s="15" t="s">
        <v>4</v>
      </c>
      <c r="H18" s="18" t="s">
        <v>15</v>
      </c>
      <c r="I18" s="2" t="s">
        <v>137</v>
      </c>
      <c r="J18" s="19"/>
    </row>
    <row r="19" spans="1:10" x14ac:dyDescent="0.3">
      <c r="B19" s="15" t="s">
        <v>5</v>
      </c>
      <c r="C19" s="20" t="s">
        <v>9</v>
      </c>
      <c r="D19" s="1"/>
      <c r="E19" s="17"/>
      <c r="G19" s="15" t="s">
        <v>5</v>
      </c>
      <c r="H19" s="20" t="s">
        <v>16</v>
      </c>
      <c r="I19" s="1"/>
      <c r="J19" s="17"/>
    </row>
    <row r="20" spans="1:10" x14ac:dyDescent="0.3">
      <c r="B20" s="15" t="s">
        <v>6</v>
      </c>
      <c r="C20" s="21" t="s">
        <v>10</v>
      </c>
      <c r="D20" s="1" t="s">
        <v>137</v>
      </c>
      <c r="E20" s="17"/>
      <c r="G20" s="22"/>
      <c r="H20" s="23" t="s">
        <v>12</v>
      </c>
      <c r="I20" s="24">
        <f>(IF(I17="X",15,IF(I18="X",25,IF(I19="X",35,0))))/10</f>
        <v>2.5</v>
      </c>
      <c r="J20" s="17"/>
    </row>
    <row r="21" spans="1:10" x14ac:dyDescent="0.3">
      <c r="B21" s="25"/>
      <c r="C21" s="26" t="s">
        <v>12</v>
      </c>
      <c r="D21" s="27">
        <f>(IF(D17="X",10,IF(D18="X",20,IF(D19="X",30,IF(D20="X",40,0)))))/10</f>
        <v>4</v>
      </c>
      <c r="E21" s="17"/>
      <c r="G21" s="22"/>
      <c r="H21" s="28"/>
      <c r="I21" s="29"/>
      <c r="J21" s="19"/>
    </row>
    <row r="22" spans="1:10" x14ac:dyDescent="0.3">
      <c r="B22" s="30"/>
      <c r="C22" s="31"/>
      <c r="D22" s="32"/>
      <c r="E22" s="33"/>
      <c r="G22" s="34"/>
      <c r="H22" s="35"/>
      <c r="I22" s="35"/>
      <c r="J22" s="36"/>
    </row>
    <row r="24" spans="1:10" ht="14.55" customHeight="1" x14ac:dyDescent="0.3">
      <c r="B24" s="105" t="s">
        <v>17</v>
      </c>
      <c r="C24" s="106"/>
      <c r="D24" s="106"/>
      <c r="E24" s="107"/>
      <c r="F24" s="37"/>
      <c r="G24" s="105" t="s">
        <v>22</v>
      </c>
      <c r="H24" s="106"/>
      <c r="I24" s="106"/>
      <c r="J24" s="107"/>
    </row>
    <row r="25" spans="1:10" x14ac:dyDescent="0.3">
      <c r="B25" s="108"/>
      <c r="C25" s="109"/>
      <c r="D25" s="109"/>
      <c r="E25" s="110"/>
      <c r="G25" s="108"/>
      <c r="H25" s="109"/>
      <c r="I25" s="109"/>
      <c r="J25" s="110"/>
    </row>
    <row r="26" spans="1:10" x14ac:dyDescent="0.3">
      <c r="B26" s="15" t="s">
        <v>3</v>
      </c>
      <c r="C26" s="16" t="s">
        <v>18</v>
      </c>
      <c r="D26" s="1"/>
      <c r="E26" s="17"/>
      <c r="G26" s="15" t="s">
        <v>3</v>
      </c>
      <c r="H26" s="16" t="s">
        <v>23</v>
      </c>
      <c r="I26" s="1"/>
      <c r="J26" s="17"/>
    </row>
    <row r="27" spans="1:10" x14ac:dyDescent="0.3">
      <c r="B27" s="15" t="s">
        <v>4</v>
      </c>
      <c r="C27" s="18" t="s">
        <v>19</v>
      </c>
      <c r="D27" s="2"/>
      <c r="E27" s="19"/>
      <c r="G27" s="15" t="s">
        <v>4</v>
      </c>
      <c r="H27" s="18" t="s">
        <v>24</v>
      </c>
      <c r="I27" s="2" t="s">
        <v>137</v>
      </c>
      <c r="J27" s="19"/>
    </row>
    <row r="28" spans="1:10" x14ac:dyDescent="0.3">
      <c r="B28" s="15" t="s">
        <v>5</v>
      </c>
      <c r="C28" s="20" t="s">
        <v>20</v>
      </c>
      <c r="D28" s="1" t="s">
        <v>137</v>
      </c>
      <c r="E28" s="17"/>
      <c r="G28" s="25"/>
      <c r="H28" s="38" t="s">
        <v>12</v>
      </c>
      <c r="I28" s="39">
        <f>(IF(I26="X",35,IF(I27="X",25,0)))/10</f>
        <v>2.5</v>
      </c>
      <c r="J28" s="17"/>
    </row>
    <row r="29" spans="1:10" ht="14.55" customHeight="1" x14ac:dyDescent="0.3">
      <c r="B29" s="15" t="s">
        <v>6</v>
      </c>
      <c r="C29" s="21" t="s">
        <v>21</v>
      </c>
      <c r="D29" s="1"/>
      <c r="E29" s="17"/>
      <c r="G29" s="112" t="s">
        <v>136</v>
      </c>
      <c r="H29" s="113"/>
      <c r="I29" s="113"/>
      <c r="J29" s="114"/>
    </row>
    <row r="30" spans="1:10" ht="14.55" customHeight="1" x14ac:dyDescent="0.3">
      <c r="B30" s="25"/>
      <c r="C30" s="38" t="s">
        <v>12</v>
      </c>
      <c r="D30" s="27">
        <f>(IF(D26="X",10,IF(D27="X",20,IF(D28="X",30,IF(D29="X",40,0)))))/10</f>
        <v>3</v>
      </c>
      <c r="E30" s="17"/>
      <c r="G30" s="115"/>
      <c r="H30" s="116"/>
      <c r="I30" s="116"/>
      <c r="J30" s="117"/>
    </row>
    <row r="31" spans="1:10" ht="14.55" customHeight="1" x14ac:dyDescent="0.3">
      <c r="B31" s="22"/>
      <c r="C31" s="28"/>
      <c r="D31" s="40"/>
      <c r="E31" s="19"/>
      <c r="G31" s="115"/>
      <c r="H31" s="116"/>
      <c r="I31" s="116"/>
      <c r="J31" s="117"/>
    </row>
    <row r="32" spans="1:10" x14ac:dyDescent="0.3">
      <c r="A32" s="41"/>
      <c r="B32" s="34"/>
      <c r="C32" s="35"/>
      <c r="D32" s="35"/>
      <c r="E32" s="36"/>
      <c r="G32" s="118"/>
      <c r="H32" s="119"/>
      <c r="I32" s="119"/>
      <c r="J32" s="120"/>
    </row>
    <row r="33" spans="1:11" x14ac:dyDescent="0.3">
      <c r="A33" s="41"/>
      <c r="B33" s="42"/>
      <c r="C33" s="42"/>
      <c r="D33" s="42"/>
      <c r="E33" s="42"/>
      <c r="G33" s="11"/>
      <c r="H33" s="11"/>
      <c r="I33" s="11"/>
      <c r="J33" s="11"/>
    </row>
    <row r="35" spans="1:11" x14ac:dyDescent="0.3">
      <c r="B35" s="74" t="s">
        <v>29</v>
      </c>
      <c r="C35" s="74"/>
      <c r="D35" s="74"/>
      <c r="E35" s="74"/>
      <c r="F35" s="74"/>
      <c r="G35" s="74"/>
      <c r="H35" s="74"/>
      <c r="I35" s="74"/>
      <c r="J35" s="74"/>
    </row>
    <row r="36" spans="1:11" x14ac:dyDescent="0.3">
      <c r="B36" s="74" t="s">
        <v>129</v>
      </c>
      <c r="C36" s="74"/>
      <c r="D36" s="74"/>
      <c r="E36" s="74"/>
      <c r="F36" s="74"/>
      <c r="G36" s="74"/>
      <c r="H36" s="74"/>
      <c r="I36" s="74"/>
      <c r="J36" s="74"/>
      <c r="K36" s="74"/>
    </row>
    <row r="37" spans="1:11" ht="15" thickBot="1" x14ac:dyDescent="0.35">
      <c r="B37" s="43"/>
      <c r="C37" s="43"/>
      <c r="D37" s="43"/>
      <c r="E37" s="43"/>
      <c r="F37" s="43"/>
      <c r="G37" s="43"/>
      <c r="H37" s="43"/>
      <c r="I37" s="43"/>
      <c r="J37" s="43"/>
    </row>
    <row r="38" spans="1:11" ht="23.55" customHeight="1" x14ac:dyDescent="0.3">
      <c r="B38" s="136" t="s">
        <v>25</v>
      </c>
      <c r="C38" s="125"/>
      <c r="D38" s="130" t="s">
        <v>33</v>
      </c>
      <c r="E38" s="131"/>
      <c r="F38" s="124" t="s">
        <v>34</v>
      </c>
      <c r="G38" s="125"/>
      <c r="H38" s="121" t="s">
        <v>35</v>
      </c>
      <c r="I38" s="143" t="s">
        <v>130</v>
      </c>
      <c r="J38" s="144"/>
      <c r="K38" s="145"/>
    </row>
    <row r="39" spans="1:11" x14ac:dyDescent="0.3">
      <c r="B39" s="137"/>
      <c r="C39" s="127"/>
      <c r="D39" s="132"/>
      <c r="E39" s="133"/>
      <c r="F39" s="126"/>
      <c r="G39" s="127"/>
      <c r="H39" s="122"/>
      <c r="I39" s="44" t="s">
        <v>30</v>
      </c>
      <c r="J39" s="45" t="s">
        <v>31</v>
      </c>
      <c r="K39" s="46" t="s">
        <v>32</v>
      </c>
    </row>
    <row r="40" spans="1:11" x14ac:dyDescent="0.3">
      <c r="B40" s="137"/>
      <c r="C40" s="127"/>
      <c r="D40" s="132"/>
      <c r="E40" s="133"/>
      <c r="F40" s="126"/>
      <c r="G40" s="127"/>
      <c r="H40" s="122"/>
      <c r="I40" s="141" t="s">
        <v>131</v>
      </c>
      <c r="J40" s="139" t="s">
        <v>132</v>
      </c>
      <c r="K40" s="92" t="s">
        <v>133</v>
      </c>
    </row>
    <row r="41" spans="1:11" ht="34.200000000000003" customHeight="1" x14ac:dyDescent="0.3">
      <c r="B41" s="138"/>
      <c r="C41" s="129"/>
      <c r="D41" s="134"/>
      <c r="E41" s="135"/>
      <c r="F41" s="128"/>
      <c r="G41" s="129"/>
      <c r="H41" s="123"/>
      <c r="I41" s="142"/>
      <c r="J41" s="140"/>
      <c r="K41" s="93"/>
    </row>
    <row r="42" spans="1:11" ht="14.55" customHeight="1" x14ac:dyDescent="0.3">
      <c r="B42" s="95" t="s">
        <v>26</v>
      </c>
      <c r="C42" s="96"/>
      <c r="D42" s="87"/>
      <c r="E42" s="88"/>
      <c r="F42" s="87"/>
      <c r="G42" s="88"/>
      <c r="H42" s="91" t="s">
        <v>137</v>
      </c>
      <c r="I42" s="94" t="s">
        <v>139</v>
      </c>
      <c r="J42" s="86" t="s">
        <v>140</v>
      </c>
      <c r="K42" s="85" t="s">
        <v>139</v>
      </c>
    </row>
    <row r="43" spans="1:11" x14ac:dyDescent="0.3">
      <c r="B43" s="95"/>
      <c r="C43" s="96"/>
      <c r="D43" s="89"/>
      <c r="E43" s="90"/>
      <c r="F43" s="89"/>
      <c r="G43" s="90"/>
      <c r="H43" s="91"/>
      <c r="I43" s="94"/>
      <c r="J43" s="86"/>
      <c r="K43" s="85"/>
    </row>
    <row r="44" spans="1:11" ht="14.55" customHeight="1" x14ac:dyDescent="0.3">
      <c r="B44" s="95" t="s">
        <v>27</v>
      </c>
      <c r="C44" s="96"/>
      <c r="D44" s="87"/>
      <c r="E44" s="88"/>
      <c r="F44" s="87"/>
      <c r="G44" s="88"/>
      <c r="H44" s="91" t="s">
        <v>137</v>
      </c>
      <c r="I44" s="94" t="s">
        <v>139</v>
      </c>
      <c r="J44" s="86" t="s">
        <v>140</v>
      </c>
      <c r="K44" s="85" t="s">
        <v>139</v>
      </c>
    </row>
    <row r="45" spans="1:11" x14ac:dyDescent="0.3">
      <c r="B45" s="95"/>
      <c r="C45" s="96"/>
      <c r="D45" s="89"/>
      <c r="E45" s="90"/>
      <c r="F45" s="89"/>
      <c r="G45" s="90"/>
      <c r="H45" s="91"/>
      <c r="I45" s="94"/>
      <c r="J45" s="86"/>
      <c r="K45" s="85"/>
    </row>
    <row r="46" spans="1:11" ht="14.55" customHeight="1" x14ac:dyDescent="0.3">
      <c r="B46" s="95" t="s">
        <v>36</v>
      </c>
      <c r="C46" s="96"/>
      <c r="D46" s="87"/>
      <c r="E46" s="88"/>
      <c r="F46" s="87"/>
      <c r="G46" s="88"/>
      <c r="H46" s="91" t="s">
        <v>137</v>
      </c>
      <c r="I46" s="94" t="s">
        <v>139</v>
      </c>
      <c r="J46" s="86" t="s">
        <v>140</v>
      </c>
      <c r="K46" s="85" t="s">
        <v>139</v>
      </c>
    </row>
    <row r="47" spans="1:11" x14ac:dyDescent="0.3">
      <c r="B47" s="95"/>
      <c r="C47" s="96"/>
      <c r="D47" s="89"/>
      <c r="E47" s="90"/>
      <c r="F47" s="89"/>
      <c r="G47" s="90"/>
      <c r="H47" s="91"/>
      <c r="I47" s="94"/>
      <c r="J47" s="86"/>
      <c r="K47" s="85"/>
    </row>
    <row r="48" spans="1:11" x14ac:dyDescent="0.3">
      <c r="B48" s="95" t="s">
        <v>37</v>
      </c>
      <c r="C48" s="96"/>
      <c r="D48" s="87" t="s">
        <v>137</v>
      </c>
      <c r="E48" s="88"/>
      <c r="F48" s="87"/>
      <c r="G48" s="88"/>
      <c r="H48" s="91"/>
      <c r="I48" s="94"/>
      <c r="J48" s="86"/>
      <c r="K48" s="85"/>
    </row>
    <row r="49" spans="2:11" x14ac:dyDescent="0.3">
      <c r="B49" s="95"/>
      <c r="C49" s="96"/>
      <c r="D49" s="89"/>
      <c r="E49" s="90"/>
      <c r="F49" s="89"/>
      <c r="G49" s="90"/>
      <c r="H49" s="91"/>
      <c r="I49" s="94"/>
      <c r="J49" s="86"/>
      <c r="K49" s="85"/>
    </row>
    <row r="50" spans="2:11" x14ac:dyDescent="0.3">
      <c r="B50" s="95" t="s">
        <v>38</v>
      </c>
      <c r="C50" s="96"/>
      <c r="D50" s="87" t="s">
        <v>137</v>
      </c>
      <c r="E50" s="88"/>
      <c r="F50" s="87"/>
      <c r="G50" s="88"/>
      <c r="H50" s="91"/>
      <c r="I50" s="94"/>
      <c r="J50" s="86"/>
      <c r="K50" s="85"/>
    </row>
    <row r="51" spans="2:11" ht="27.45" customHeight="1" x14ac:dyDescent="0.3">
      <c r="B51" s="95"/>
      <c r="C51" s="96"/>
      <c r="D51" s="89"/>
      <c r="E51" s="90"/>
      <c r="F51" s="89"/>
      <c r="G51" s="90"/>
      <c r="H51" s="91"/>
      <c r="I51" s="94"/>
      <c r="J51" s="86"/>
      <c r="K51" s="85"/>
    </row>
    <row r="52" spans="2:11" x14ac:dyDescent="0.3">
      <c r="B52" s="95" t="s">
        <v>39</v>
      </c>
      <c r="C52" s="96"/>
      <c r="D52" s="87" t="s">
        <v>137</v>
      </c>
      <c r="E52" s="88"/>
      <c r="F52" s="87"/>
      <c r="G52" s="88"/>
      <c r="H52" s="91"/>
      <c r="I52" s="94"/>
      <c r="J52" s="86"/>
      <c r="K52" s="85"/>
    </row>
    <row r="53" spans="2:11" x14ac:dyDescent="0.3">
      <c r="B53" s="95"/>
      <c r="C53" s="96"/>
      <c r="D53" s="89"/>
      <c r="E53" s="90"/>
      <c r="F53" s="89"/>
      <c r="G53" s="90"/>
      <c r="H53" s="91"/>
      <c r="I53" s="94"/>
      <c r="J53" s="86"/>
      <c r="K53" s="85"/>
    </row>
    <row r="54" spans="2:11" x14ac:dyDescent="0.3">
      <c r="B54" s="95" t="s">
        <v>40</v>
      </c>
      <c r="C54" s="96"/>
      <c r="D54" s="87"/>
      <c r="E54" s="88"/>
      <c r="F54" s="87" t="s">
        <v>137</v>
      </c>
      <c r="G54" s="88"/>
      <c r="H54" s="91"/>
      <c r="I54" s="94"/>
      <c r="J54" s="86"/>
      <c r="K54" s="85"/>
    </row>
    <row r="55" spans="2:11" x14ac:dyDescent="0.3">
      <c r="B55" s="95"/>
      <c r="C55" s="96"/>
      <c r="D55" s="89"/>
      <c r="E55" s="90"/>
      <c r="F55" s="89"/>
      <c r="G55" s="90"/>
      <c r="H55" s="91"/>
      <c r="I55" s="94"/>
      <c r="J55" s="86"/>
      <c r="K55" s="85"/>
    </row>
    <row r="56" spans="2:11" x14ac:dyDescent="0.3">
      <c r="B56" s="95" t="s">
        <v>41</v>
      </c>
      <c r="C56" s="96"/>
      <c r="D56" s="87" t="s">
        <v>137</v>
      </c>
      <c r="E56" s="88"/>
      <c r="F56" s="87"/>
      <c r="G56" s="88"/>
      <c r="H56" s="91"/>
      <c r="I56" s="94"/>
      <c r="J56" s="86"/>
      <c r="K56" s="85"/>
    </row>
    <row r="57" spans="2:11" x14ac:dyDescent="0.3">
      <c r="B57" s="95"/>
      <c r="C57" s="96"/>
      <c r="D57" s="89"/>
      <c r="E57" s="90"/>
      <c r="F57" s="89"/>
      <c r="G57" s="90"/>
      <c r="H57" s="91"/>
      <c r="I57" s="94"/>
      <c r="J57" s="86"/>
      <c r="K57" s="85"/>
    </row>
    <row r="58" spans="2:11" x14ac:dyDescent="0.3">
      <c r="B58" s="95" t="s">
        <v>66</v>
      </c>
      <c r="C58" s="96"/>
      <c r="D58" s="87"/>
      <c r="E58" s="88"/>
      <c r="F58" s="87" t="s">
        <v>137</v>
      </c>
      <c r="G58" s="88"/>
      <c r="H58" s="91"/>
      <c r="I58" s="94"/>
      <c r="J58" s="86"/>
      <c r="K58" s="85"/>
    </row>
    <row r="59" spans="2:11" ht="26.55" customHeight="1" x14ac:dyDescent="0.3">
      <c r="B59" s="95"/>
      <c r="C59" s="96"/>
      <c r="D59" s="89"/>
      <c r="E59" s="90"/>
      <c r="F59" s="89"/>
      <c r="G59" s="90"/>
      <c r="H59" s="91"/>
      <c r="I59" s="94"/>
      <c r="J59" s="86"/>
      <c r="K59" s="85"/>
    </row>
    <row r="60" spans="2:11" x14ac:dyDescent="0.3">
      <c r="B60" s="95" t="s">
        <v>42</v>
      </c>
      <c r="C60" s="96"/>
      <c r="D60" s="87" t="s">
        <v>137</v>
      </c>
      <c r="E60" s="88"/>
      <c r="F60" s="87"/>
      <c r="G60" s="88"/>
      <c r="H60" s="91"/>
      <c r="I60" s="94"/>
      <c r="J60" s="86"/>
      <c r="K60" s="85"/>
    </row>
    <row r="61" spans="2:11" ht="15" thickBot="1" x14ac:dyDescent="0.35">
      <c r="B61" s="103"/>
      <c r="C61" s="104"/>
      <c r="D61" s="89"/>
      <c r="E61" s="90"/>
      <c r="F61" s="89"/>
      <c r="G61" s="90"/>
      <c r="H61" s="91"/>
      <c r="I61" s="94"/>
      <c r="J61" s="86"/>
      <c r="K61" s="85"/>
    </row>
    <row r="62" spans="2:11" ht="15" thickBot="1" x14ac:dyDescent="0.35">
      <c r="B62" s="80" t="s">
        <v>11</v>
      </c>
      <c r="C62" s="81"/>
      <c r="D62" s="82">
        <f>(IF(D42="X",0,0))+(IF(D44="X",0,0))+(IF(D46="X",0,0))+(IF(D48="X",0,0))+(IF(D50="X",0,0))+(IF(D52="X",0,0))+(IF(D54="X",0,0))+(IF(D56="X",0,0))+(IF(D58="X",0,0))+(IF(D60="X",0,0))</f>
        <v>0</v>
      </c>
      <c r="E62" s="82"/>
      <c r="F62" s="82">
        <f>((IF(F42="X",1,0))+(IF(F44="X",2,0))+(IF(F46="X",3,0))+(IF(F48="X",4,0))+(IF(F50="X",5,0))+(IF(F52="X",6,0))+(IF(F54="X",7,0))+(IF(F56="X",8,0))+(IF(F58="X",9,0))+(IF(F60="X",10,0)))/10</f>
        <v>1.6</v>
      </c>
      <c r="G62" s="82"/>
      <c r="H62" s="47">
        <f>((IF(H42="X",2,0))+(IF(H44="X",4,0))+(IF(H46="X",6,0))+(IF(H48="X",8,0))+(IF(H50="X",10,0))+(IF(H52="X",12,0))+(IF(H54="X",14,0))+(IF(H56="X",16,0))+(IF(H58="X",18,0))+(IF(H60="X",20,0)))/10</f>
        <v>1.2</v>
      </c>
      <c r="I62" s="48">
        <f>((IF(I42="M",5,IF(I42="S",10,IF(I42="A",15,0))))+(IF(I44="M",5,IF(I44="S",10,IF(I44="A",15,0))))+(IF(I46="M",5,IF(I46="S",10,IF(I46="A",15,0))))+(IF(I48="M",5,IF(I48="S",10,IF(I48="A",15,0))))+(IF(I50="M",5,IF(I50="S",10,IF(I50="A",15,0))))+(IF(I52="M",5,IF(I52="S",10,IF(I52="A",15,0))))+(IF(I54="M",5,IF(I54="S",10,IF(I54="A",15,0))))+(IF(I56="M",5,IF(I56="S",10,IF(I56="A",15,0))))+(IF(I58="M",5,IF(I58="S",10,IF(I58="A",15,0))))+(IF(I60="M",5,IF(I60="S",10,IF(I60="A",15,0)))))/10</f>
        <v>1.5</v>
      </c>
      <c r="J62" s="49">
        <f>((IF(J42="C",15,IF(J42="M",10,IF(J42="L",5,0))))+(IF(J44="C",15,IF(J44="M",10,IF(J44="L",5,0))))+(IF(J46="C",15,IF(J46="M",10,IF(J46="L",5,0))))+(IF(J48="C",15,IF(J48="M",10,IF(J48="L",5,0))))+(IF(J50="C",15,IF(J50="M",10,IF(J50="L",5,0))))+(IF(J52="C",15,IF(J52="M",10,IF(J52="L",5,0))))+(IF(J54="C",15,IF(J54="M",10,IF(J54="L",5,0))))+(IF(J56="C",15,IF(J56="M",10,IF(J56="L",5,0))))+(IF(J58="C",15,IF(J58="M",10,IF(J58="L",5,0))))+(IF(J60="C",15,IF(J60="M",10,IF(J60="L",5,0)))))/10</f>
        <v>4.5</v>
      </c>
      <c r="K62" s="50">
        <f>((IF(K42="B",1,IF(K42="M",2,IF(K42="A",3,0))))+(IF(K44="B",4,IF(K44="M",5,IF(K44="A",6,0))))+(IF(K46="B",7,IF(K46="M",8,IF(K46="A",9,0))))+(IF(K48="B",10,IF(K48="M",10,IF(K48="A",11,0))))+(IF(K50="B",12,IF(K50="M",13,IF(K50="A",14,0))))+(IF(K52="B",15,IF(K52="M",16,IF(K52="A",17,0))))+(IF(K54="B",18,IF(K54="M",19,IF(K54="A",20,0))))+(IF(K56="B",21,IF(K56="M",22,IF(K56="A",23,0))))+(IF(K58="B",24,IF(K58="M",25,IF(K58="A",26,0))))+(IF(K60="B",27,IF(K60="M",28,IF(K60="A",29,0)))))/10</f>
        <v>1.5</v>
      </c>
    </row>
    <row r="63" spans="2:11" ht="14.55" customHeight="1" x14ac:dyDescent="0.3">
      <c r="B63" s="83" t="s">
        <v>43</v>
      </c>
      <c r="C63" s="83"/>
      <c r="D63" s="83"/>
      <c r="E63" s="83"/>
      <c r="F63" s="83"/>
      <c r="G63" s="83"/>
      <c r="H63" s="83"/>
    </row>
    <row r="64" spans="2:11" x14ac:dyDescent="0.3">
      <c r="B64" s="84"/>
      <c r="C64" s="84"/>
      <c r="D64" s="84"/>
      <c r="E64" s="84"/>
      <c r="F64" s="84"/>
      <c r="G64" s="84"/>
      <c r="H64" s="84"/>
    </row>
    <row r="65" spans="2:11" x14ac:dyDescent="0.3">
      <c r="B65" s="84"/>
      <c r="C65" s="84"/>
      <c r="D65" s="84"/>
      <c r="E65" s="84"/>
      <c r="F65" s="84"/>
      <c r="G65" s="84"/>
      <c r="H65" s="84"/>
    </row>
    <row r="67" spans="2:11" ht="18" x14ac:dyDescent="0.3">
      <c r="B67" s="171" t="s">
        <v>44</v>
      </c>
      <c r="C67" s="171"/>
      <c r="D67" s="171"/>
      <c r="E67" s="171"/>
      <c r="F67" s="171"/>
      <c r="G67" s="171"/>
      <c r="H67" s="171"/>
      <c r="I67" s="171"/>
      <c r="J67" s="171"/>
      <c r="K67" s="171"/>
    </row>
    <row r="69" spans="2:11" x14ac:dyDescent="0.3">
      <c r="B69" s="14" t="s">
        <v>45</v>
      </c>
    </row>
    <row r="70" spans="2:11" x14ac:dyDescent="0.3">
      <c r="B70" s="21" t="s">
        <v>116</v>
      </c>
    </row>
    <row r="71" spans="2:11" ht="10.95" customHeight="1" thickBot="1" x14ac:dyDescent="0.35">
      <c r="B71" s="21"/>
    </row>
    <row r="72" spans="2:11" ht="15" thickBot="1" x14ac:dyDescent="0.35">
      <c r="B72" s="102" t="s">
        <v>51</v>
      </c>
      <c r="C72" s="101"/>
      <c r="D72" s="101"/>
      <c r="E72" s="101"/>
      <c r="F72" s="101" t="s">
        <v>50</v>
      </c>
      <c r="G72" s="101"/>
      <c r="H72" s="51" t="s">
        <v>49</v>
      </c>
      <c r="I72" s="14"/>
    </row>
    <row r="73" spans="2:11" ht="15" thickBot="1" x14ac:dyDescent="0.35">
      <c r="B73" s="167" t="s">
        <v>46</v>
      </c>
      <c r="C73" s="100"/>
      <c r="D73" s="97" t="s">
        <v>47</v>
      </c>
      <c r="E73" s="98"/>
      <c r="F73" s="99" t="s">
        <v>48</v>
      </c>
      <c r="G73" s="100"/>
      <c r="H73" s="3"/>
    </row>
    <row r="74" spans="2:11" ht="15" thickBot="1" x14ac:dyDescent="0.35">
      <c r="B74" s="166" t="s">
        <v>52</v>
      </c>
      <c r="C74" s="154"/>
      <c r="D74" s="161" t="s">
        <v>56</v>
      </c>
      <c r="E74" s="162"/>
      <c r="F74" s="153" t="s">
        <v>60</v>
      </c>
      <c r="G74" s="154"/>
      <c r="H74" s="3"/>
    </row>
    <row r="75" spans="2:11" ht="32.549999999999997" customHeight="1" thickBot="1" x14ac:dyDescent="0.35">
      <c r="B75" s="166" t="s">
        <v>53</v>
      </c>
      <c r="C75" s="154"/>
      <c r="D75" s="161" t="s">
        <v>57</v>
      </c>
      <c r="E75" s="162"/>
      <c r="F75" s="155" t="s">
        <v>61</v>
      </c>
      <c r="G75" s="156"/>
      <c r="H75" s="3"/>
    </row>
    <row r="76" spans="2:11" ht="15" thickBot="1" x14ac:dyDescent="0.35">
      <c r="B76" s="166" t="s">
        <v>54</v>
      </c>
      <c r="C76" s="154"/>
      <c r="D76" s="161" t="s">
        <v>58</v>
      </c>
      <c r="E76" s="162"/>
      <c r="F76" s="153" t="s">
        <v>62</v>
      </c>
      <c r="G76" s="154"/>
      <c r="H76" s="3" t="s">
        <v>137</v>
      </c>
    </row>
    <row r="77" spans="2:11" ht="15" thickBot="1" x14ac:dyDescent="0.35">
      <c r="B77" s="165" t="s">
        <v>55</v>
      </c>
      <c r="C77" s="158"/>
      <c r="D77" s="163" t="s">
        <v>59</v>
      </c>
      <c r="E77" s="164"/>
      <c r="F77" s="157" t="s">
        <v>63</v>
      </c>
      <c r="G77" s="158"/>
      <c r="H77" s="3"/>
    </row>
    <row r="78" spans="2:11" ht="15" thickBot="1" x14ac:dyDescent="0.35">
      <c r="B78" s="42"/>
      <c r="C78" s="42"/>
      <c r="D78" s="42"/>
      <c r="E78" s="42"/>
      <c r="F78" s="159" t="s">
        <v>11</v>
      </c>
      <c r="G78" s="160"/>
      <c r="H78" s="52">
        <f>(IF(H73="X",5,IF(H74="X",10,IF(H75="X",15,IF(H76="X",20,IF(H77="X",25,0))))))/10</f>
        <v>2</v>
      </c>
    </row>
    <row r="80" spans="2:11" x14ac:dyDescent="0.3">
      <c r="B80" s="14" t="s">
        <v>64</v>
      </c>
    </row>
    <row r="81" spans="2:11" x14ac:dyDescent="0.3">
      <c r="B81" s="146" t="s">
        <v>117</v>
      </c>
      <c r="C81" s="146"/>
      <c r="D81" s="146"/>
      <c r="E81" s="146"/>
      <c r="F81" s="146"/>
      <c r="G81" s="146"/>
      <c r="H81" s="146"/>
      <c r="I81" s="146"/>
      <c r="J81" s="146"/>
      <c r="K81" s="146"/>
    </row>
    <row r="82" spans="2:11" x14ac:dyDescent="0.3">
      <c r="B82" s="146"/>
      <c r="C82" s="146"/>
      <c r="D82" s="146"/>
      <c r="E82" s="146"/>
      <c r="F82" s="146"/>
      <c r="G82" s="146"/>
      <c r="H82" s="146"/>
      <c r="I82" s="146"/>
      <c r="J82" s="146"/>
      <c r="K82" s="146"/>
    </row>
    <row r="83" spans="2:11" ht="15" thickBot="1" x14ac:dyDescent="0.35"/>
    <row r="84" spans="2:11" ht="15" thickBot="1" x14ac:dyDescent="0.35">
      <c r="B84" s="102" t="s">
        <v>65</v>
      </c>
      <c r="C84" s="101"/>
      <c r="D84" s="101"/>
      <c r="E84" s="51" t="s">
        <v>49</v>
      </c>
    </row>
    <row r="85" spans="2:11" ht="15" thickBot="1" x14ac:dyDescent="0.35">
      <c r="B85" s="150" t="s">
        <v>112</v>
      </c>
      <c r="C85" s="151"/>
      <c r="D85" s="152"/>
      <c r="E85" s="4"/>
    </row>
    <row r="86" spans="2:11" ht="15" thickBot="1" x14ac:dyDescent="0.35">
      <c r="B86" s="147" t="s">
        <v>113</v>
      </c>
      <c r="C86" s="148"/>
      <c r="D86" s="149"/>
      <c r="E86" s="4" t="s">
        <v>137</v>
      </c>
    </row>
    <row r="87" spans="2:11" ht="15" thickBot="1" x14ac:dyDescent="0.35">
      <c r="B87" s="147" t="s">
        <v>114</v>
      </c>
      <c r="C87" s="148"/>
      <c r="D87" s="149"/>
      <c r="E87" s="4"/>
    </row>
    <row r="88" spans="2:11" ht="15" thickBot="1" x14ac:dyDescent="0.35">
      <c r="B88" s="193" t="s">
        <v>115</v>
      </c>
      <c r="C88" s="194"/>
      <c r="D88" s="195"/>
      <c r="E88" s="4"/>
    </row>
    <row r="89" spans="2:11" ht="15" thickBot="1" x14ac:dyDescent="0.35">
      <c r="B89" s="196" t="s">
        <v>11</v>
      </c>
      <c r="C89" s="197"/>
      <c r="D89" s="198"/>
      <c r="E89" s="53">
        <f>(IF(E85="X",10,IF(E86="X",20,IF(E87="X",30,IF(E88="X",40,0)))))/10</f>
        <v>2</v>
      </c>
    </row>
    <row r="90" spans="2:11" x14ac:dyDescent="0.3">
      <c r="H90" s="41"/>
    </row>
    <row r="92" spans="2:11" x14ac:dyDescent="0.3">
      <c r="B92" s="14" t="s">
        <v>67</v>
      </c>
    </row>
    <row r="93" spans="2:11" x14ac:dyDescent="0.3">
      <c r="B93" s="21" t="s">
        <v>118</v>
      </c>
    </row>
    <row r="94" spans="2:11" ht="15" thickBot="1" x14ac:dyDescent="0.35"/>
    <row r="95" spans="2:11" ht="15" thickBot="1" x14ac:dyDescent="0.35">
      <c r="B95" s="136" t="s">
        <v>76</v>
      </c>
      <c r="C95" s="179"/>
      <c r="D95" s="179"/>
      <c r="E95" s="179"/>
      <c r="F95" s="179"/>
      <c r="G95" s="179"/>
      <c r="H95" s="180"/>
      <c r="I95" s="54" t="s">
        <v>49</v>
      </c>
    </row>
    <row r="96" spans="2:11" ht="26.55" customHeight="1" thickBot="1" x14ac:dyDescent="0.35">
      <c r="B96" s="185" t="s">
        <v>68</v>
      </c>
      <c r="C96" s="186"/>
      <c r="D96" s="191" t="s">
        <v>72</v>
      </c>
      <c r="E96" s="191"/>
      <c r="F96" s="191"/>
      <c r="G96" s="191"/>
      <c r="H96" s="192"/>
      <c r="I96" s="4"/>
    </row>
    <row r="97" spans="2:11" ht="25.95" customHeight="1" thickBot="1" x14ac:dyDescent="0.35">
      <c r="B97" s="183" t="s">
        <v>69</v>
      </c>
      <c r="C97" s="184"/>
      <c r="D97" s="189" t="s">
        <v>73</v>
      </c>
      <c r="E97" s="189"/>
      <c r="F97" s="189"/>
      <c r="G97" s="189"/>
      <c r="H97" s="190"/>
      <c r="I97" s="4" t="s">
        <v>137</v>
      </c>
    </row>
    <row r="98" spans="2:11" ht="27.45" customHeight="1" thickBot="1" x14ac:dyDescent="0.35">
      <c r="B98" s="183" t="s">
        <v>70</v>
      </c>
      <c r="C98" s="184"/>
      <c r="D98" s="189" t="s">
        <v>74</v>
      </c>
      <c r="E98" s="189"/>
      <c r="F98" s="189"/>
      <c r="G98" s="189"/>
      <c r="H98" s="190"/>
      <c r="I98" s="4"/>
    </row>
    <row r="99" spans="2:11" ht="20.55" customHeight="1" thickBot="1" x14ac:dyDescent="0.35">
      <c r="B99" s="181" t="s">
        <v>71</v>
      </c>
      <c r="C99" s="182"/>
      <c r="D99" s="187" t="s">
        <v>75</v>
      </c>
      <c r="E99" s="187"/>
      <c r="F99" s="187"/>
      <c r="G99" s="187"/>
      <c r="H99" s="188"/>
      <c r="I99" s="4"/>
    </row>
    <row r="100" spans="2:11" ht="15" thickBot="1" x14ac:dyDescent="0.35">
      <c r="B100" s="42"/>
      <c r="C100" s="42"/>
      <c r="D100" s="42"/>
      <c r="E100" s="42"/>
      <c r="F100" s="42"/>
      <c r="G100" s="42"/>
      <c r="H100" s="55" t="s">
        <v>11</v>
      </c>
      <c r="I100" s="53">
        <f>(IF(I96="X",10,IF(I97="X",20,IF(I98="X",30,IF(I99="X",40,0)))))/10</f>
        <v>2</v>
      </c>
    </row>
    <row r="103" spans="2:11" ht="21" x14ac:dyDescent="0.3">
      <c r="B103" s="170" t="s">
        <v>77</v>
      </c>
      <c r="C103" s="170"/>
      <c r="D103" s="170"/>
      <c r="E103" s="170"/>
      <c r="F103" s="170"/>
      <c r="G103" s="170"/>
      <c r="H103" s="170"/>
      <c r="I103" s="170"/>
      <c r="J103" s="170"/>
      <c r="K103" s="170"/>
    </row>
    <row r="104" spans="2:11" x14ac:dyDescent="0.3">
      <c r="B104" s="14" t="s">
        <v>134</v>
      </c>
    </row>
    <row r="105" spans="2:11" ht="9" customHeight="1" x14ac:dyDescent="0.3"/>
    <row r="106" spans="2:11" ht="14.55" customHeight="1" x14ac:dyDescent="0.3">
      <c r="B106" s="105" t="s">
        <v>79</v>
      </c>
      <c r="C106" s="106"/>
      <c r="D106" s="106"/>
      <c r="E106" s="106"/>
      <c r="F106" s="107"/>
      <c r="H106" s="105" t="s">
        <v>78</v>
      </c>
      <c r="I106" s="106"/>
      <c r="J106" s="106"/>
      <c r="K106" s="107"/>
    </row>
    <row r="107" spans="2:11" x14ac:dyDescent="0.3">
      <c r="B107" s="108"/>
      <c r="C107" s="109"/>
      <c r="D107" s="109"/>
      <c r="E107" s="109"/>
      <c r="F107" s="110"/>
      <c r="H107" s="108"/>
      <c r="I107" s="109"/>
      <c r="J107" s="109"/>
      <c r="K107" s="110"/>
    </row>
    <row r="108" spans="2:11" ht="25.95" customHeight="1" x14ac:dyDescent="0.3">
      <c r="B108" s="172" t="s">
        <v>83</v>
      </c>
      <c r="C108" s="173"/>
      <c r="D108" s="174"/>
      <c r="E108" s="5"/>
      <c r="F108" s="56"/>
      <c r="H108" s="168" t="s">
        <v>80</v>
      </c>
      <c r="I108" s="169"/>
      <c r="J108" s="1"/>
      <c r="K108" s="17"/>
    </row>
    <row r="109" spans="2:11" ht="29.55" customHeight="1" x14ac:dyDescent="0.3">
      <c r="B109" s="177" t="s">
        <v>84</v>
      </c>
      <c r="C109" s="178"/>
      <c r="D109" s="178"/>
      <c r="E109" s="2" t="s">
        <v>137</v>
      </c>
      <c r="F109" s="56"/>
      <c r="H109" s="168" t="s">
        <v>81</v>
      </c>
      <c r="I109" s="169"/>
      <c r="J109" s="2"/>
      <c r="K109" s="19"/>
    </row>
    <row r="110" spans="2:11" x14ac:dyDescent="0.3">
      <c r="B110" s="175" t="s">
        <v>85</v>
      </c>
      <c r="C110" s="176"/>
      <c r="D110" s="176"/>
      <c r="E110" s="2"/>
      <c r="F110" s="56"/>
      <c r="H110" s="168" t="s">
        <v>138</v>
      </c>
      <c r="I110" s="169"/>
      <c r="J110" s="1"/>
      <c r="K110" s="17"/>
    </row>
    <row r="111" spans="2:11" x14ac:dyDescent="0.3">
      <c r="B111" s="175" t="s">
        <v>86</v>
      </c>
      <c r="C111" s="176"/>
      <c r="D111" s="176"/>
      <c r="E111" s="2"/>
      <c r="F111" s="56"/>
      <c r="H111" s="168" t="s">
        <v>82</v>
      </c>
      <c r="I111" s="169"/>
      <c r="J111" s="1" t="s">
        <v>137</v>
      </c>
      <c r="K111" s="17"/>
    </row>
    <row r="112" spans="2:11" x14ac:dyDescent="0.3">
      <c r="B112" s="22"/>
      <c r="C112" s="42"/>
      <c r="D112" s="26" t="s">
        <v>12</v>
      </c>
      <c r="E112" s="57">
        <f>(IF(E108="X",10,IF(E109="X",20,IF(E110="X",30,IF(E111="X",40,0)))))/10</f>
        <v>2</v>
      </c>
      <c r="F112" s="56"/>
      <c r="H112" s="22"/>
      <c r="I112" s="58" t="s">
        <v>12</v>
      </c>
      <c r="J112" s="57">
        <f>(IF(J108="X",40,IF(J109="X",30,IF(J110="X",20,IF(J111="X",10,0)))))/10</f>
        <v>1</v>
      </c>
      <c r="K112" s="19"/>
    </row>
    <row r="113" spans="2:11" x14ac:dyDescent="0.3">
      <c r="B113" s="30"/>
      <c r="C113" s="31"/>
      <c r="D113" s="31"/>
      <c r="E113" s="31"/>
      <c r="F113" s="33"/>
      <c r="H113" s="30"/>
      <c r="I113" s="31"/>
      <c r="J113" s="31"/>
      <c r="K113" s="33"/>
    </row>
    <row r="115" spans="2:11" x14ac:dyDescent="0.3">
      <c r="E115" s="105" t="s">
        <v>87</v>
      </c>
      <c r="F115" s="106"/>
      <c r="G115" s="106"/>
      <c r="H115" s="106"/>
      <c r="I115" s="107"/>
    </row>
    <row r="116" spans="2:11" x14ac:dyDescent="0.3">
      <c r="E116" s="108"/>
      <c r="F116" s="109"/>
      <c r="G116" s="109"/>
      <c r="H116" s="109"/>
      <c r="I116" s="110"/>
    </row>
    <row r="117" spans="2:11" x14ac:dyDescent="0.3">
      <c r="E117" s="172" t="s">
        <v>88</v>
      </c>
      <c r="F117" s="173"/>
      <c r="G117" s="174"/>
      <c r="H117" s="5"/>
      <c r="I117" s="59"/>
    </row>
    <row r="118" spans="2:11" x14ac:dyDescent="0.3">
      <c r="E118" s="177" t="s">
        <v>89</v>
      </c>
      <c r="F118" s="178"/>
      <c r="G118" s="178"/>
      <c r="H118" s="2" t="s">
        <v>137</v>
      </c>
      <c r="I118" s="59"/>
    </row>
    <row r="119" spans="2:11" x14ac:dyDescent="0.3">
      <c r="E119" s="175" t="s">
        <v>90</v>
      </c>
      <c r="F119" s="176"/>
      <c r="G119" s="176"/>
      <c r="H119" s="2"/>
      <c r="I119" s="59"/>
    </row>
    <row r="120" spans="2:11" x14ac:dyDescent="0.3">
      <c r="E120" s="175" t="s">
        <v>91</v>
      </c>
      <c r="F120" s="176"/>
      <c r="G120" s="176"/>
      <c r="H120" s="2"/>
      <c r="I120" s="59"/>
    </row>
    <row r="121" spans="2:11" x14ac:dyDescent="0.3">
      <c r="E121" s="22"/>
      <c r="F121" s="26"/>
      <c r="G121" s="26" t="s">
        <v>12</v>
      </c>
      <c r="H121" s="57">
        <f>(IF(H117="X",40,IF(H118="X",30,IF(H119="X",20,IF(H120="X",10,0)))))/10</f>
        <v>3</v>
      </c>
      <c r="I121" s="59"/>
    </row>
    <row r="122" spans="2:11" x14ac:dyDescent="0.3">
      <c r="E122" s="30"/>
      <c r="F122" s="31"/>
      <c r="G122" s="31"/>
      <c r="H122" s="31"/>
      <c r="I122" s="33"/>
    </row>
    <row r="124" spans="2:11" ht="21" x14ac:dyDescent="0.3">
      <c r="C124" s="60" t="s">
        <v>92</v>
      </c>
      <c r="D124" s="61"/>
      <c r="E124" s="61"/>
      <c r="F124" s="61"/>
      <c r="G124" s="61"/>
      <c r="H124" s="61"/>
      <c r="I124" s="61"/>
      <c r="J124" s="61"/>
      <c r="K124" s="61"/>
    </row>
    <row r="125" spans="2:11" ht="7.95" customHeight="1" x14ac:dyDescent="0.3">
      <c r="C125" s="62"/>
      <c r="D125" s="62"/>
      <c r="E125" s="62"/>
      <c r="F125" s="62"/>
      <c r="G125" s="62"/>
      <c r="H125" s="62"/>
      <c r="I125" s="62"/>
      <c r="J125" s="62"/>
      <c r="K125" s="62"/>
    </row>
    <row r="126" spans="2:11" x14ac:dyDescent="0.3">
      <c r="C126" s="200" t="s">
        <v>104</v>
      </c>
      <c r="D126" s="200"/>
      <c r="E126" s="200"/>
      <c r="F126" s="200"/>
      <c r="J126" s="63" t="s">
        <v>93</v>
      </c>
      <c r="K126" s="64">
        <f>H121+J112+E112+I100+E89+H78+K62+J62+I62+H62+F62+D62+D30+I28+I20+D21</f>
        <v>34.299999999999997</v>
      </c>
    </row>
    <row r="127" spans="2:11" x14ac:dyDescent="0.3">
      <c r="C127" s="204" t="s">
        <v>105</v>
      </c>
      <c r="D127" s="205"/>
      <c r="E127" s="199" t="s">
        <v>106</v>
      </c>
      <c r="F127" s="199"/>
      <c r="J127" s="63" t="s">
        <v>94</v>
      </c>
      <c r="K127" s="65" t="str">
        <f>IF(K126&lt;=15,"P1",IF(AND(K126&gt;=16,K126&lt;=35),"P2",IF(AND(K126&gt;=36,K126&lt;=55),"P3",IF(AND(K126&gt;=56,K126&lt;=75),"P4",IF(AND(K126&gt;=76,K126&lt;=95),"P5",0)))))</f>
        <v>P2</v>
      </c>
    </row>
    <row r="128" spans="2:11" x14ac:dyDescent="0.3">
      <c r="C128" s="203" t="s">
        <v>119</v>
      </c>
      <c r="D128" s="155"/>
      <c r="E128" s="189" t="s">
        <v>107</v>
      </c>
      <c r="F128" s="189"/>
      <c r="J128" s="66"/>
      <c r="K128" s="66"/>
    </row>
    <row r="129" spans="3:13" x14ac:dyDescent="0.3">
      <c r="C129" s="203" t="s">
        <v>120</v>
      </c>
      <c r="D129" s="155"/>
      <c r="E129" s="189" t="s">
        <v>108</v>
      </c>
      <c r="F129" s="189"/>
      <c r="J129" s="66"/>
      <c r="K129" s="66"/>
    </row>
    <row r="130" spans="3:13" x14ac:dyDescent="0.3">
      <c r="C130" s="203" t="s">
        <v>121</v>
      </c>
      <c r="D130" s="155"/>
      <c r="E130" s="189" t="s">
        <v>109</v>
      </c>
      <c r="F130" s="189"/>
      <c r="J130" s="66"/>
      <c r="K130" s="66"/>
    </row>
    <row r="131" spans="3:13" x14ac:dyDescent="0.3">
      <c r="C131" s="203" t="s">
        <v>122</v>
      </c>
      <c r="D131" s="155"/>
      <c r="E131" s="189" t="s">
        <v>110</v>
      </c>
      <c r="F131" s="189"/>
      <c r="J131" s="66"/>
      <c r="K131" s="66"/>
    </row>
    <row r="132" spans="3:13" x14ac:dyDescent="0.3">
      <c r="C132" s="203" t="s">
        <v>123</v>
      </c>
      <c r="D132" s="155"/>
      <c r="E132" s="189" t="s">
        <v>111</v>
      </c>
      <c r="F132" s="189"/>
      <c r="J132" s="66"/>
      <c r="K132" s="66"/>
    </row>
    <row r="133" spans="3:13" x14ac:dyDescent="0.3">
      <c r="J133" s="66"/>
      <c r="K133" s="66"/>
    </row>
    <row r="134" spans="3:13" ht="14.55" customHeight="1" x14ac:dyDescent="0.3">
      <c r="C134" s="6" t="s">
        <v>137</v>
      </c>
      <c r="D134" s="67" t="s">
        <v>95</v>
      </c>
      <c r="E134" s="67"/>
      <c r="F134" s="67"/>
      <c r="G134" s="67"/>
      <c r="H134" s="67"/>
      <c r="I134" s="67"/>
      <c r="J134" s="67"/>
      <c r="K134" s="68"/>
    </row>
    <row r="135" spans="3:13" ht="8.5500000000000007" customHeight="1" x14ac:dyDescent="0.3">
      <c r="D135" s="67"/>
      <c r="E135" s="67"/>
      <c r="F135" s="67"/>
      <c r="G135" s="67"/>
      <c r="H135" s="67"/>
      <c r="I135" s="67"/>
      <c r="J135" s="68"/>
      <c r="K135" s="68"/>
    </row>
    <row r="136" spans="3:13" ht="14.55" customHeight="1" x14ac:dyDescent="0.3">
      <c r="C136" s="6" t="s">
        <v>137</v>
      </c>
      <c r="D136" s="111" t="s">
        <v>96</v>
      </c>
      <c r="E136" s="111"/>
      <c r="F136" s="111"/>
      <c r="G136" s="111"/>
      <c r="H136" s="111"/>
      <c r="I136" s="111"/>
      <c r="J136" s="111"/>
      <c r="K136" s="111"/>
    </row>
    <row r="137" spans="3:13" x14ac:dyDescent="0.3">
      <c r="D137" s="111"/>
      <c r="E137" s="111"/>
      <c r="F137" s="111"/>
      <c r="G137" s="111"/>
      <c r="H137" s="111"/>
      <c r="I137" s="111"/>
      <c r="J137" s="111"/>
      <c r="K137" s="111"/>
    </row>
    <row r="138" spans="3:13" x14ac:dyDescent="0.3">
      <c r="J138" s="69"/>
      <c r="K138" s="69"/>
    </row>
    <row r="139" spans="3:13" ht="14.55" customHeight="1" x14ac:dyDescent="0.3">
      <c r="C139" s="201" t="s">
        <v>135</v>
      </c>
      <c r="D139" s="201"/>
      <c r="E139" s="201"/>
      <c r="F139" s="201"/>
      <c r="G139" s="201"/>
      <c r="H139" s="201"/>
      <c r="I139" s="201"/>
      <c r="J139" s="201"/>
      <c r="K139" s="201"/>
      <c r="L139" s="66"/>
      <c r="M139" s="66"/>
    </row>
    <row r="140" spans="3:13" x14ac:dyDescent="0.3">
      <c r="C140" s="201"/>
      <c r="D140" s="201"/>
      <c r="E140" s="201"/>
      <c r="F140" s="201"/>
      <c r="G140" s="201"/>
      <c r="H140" s="201"/>
      <c r="I140" s="201"/>
      <c r="J140" s="201"/>
      <c r="K140" s="201"/>
      <c r="L140" s="66"/>
      <c r="M140" s="66"/>
    </row>
    <row r="141" spans="3:13" x14ac:dyDescent="0.3">
      <c r="C141" s="201"/>
      <c r="D141" s="201"/>
      <c r="E141" s="201"/>
      <c r="F141" s="201"/>
      <c r="G141" s="201"/>
      <c r="H141" s="201"/>
      <c r="I141" s="201"/>
      <c r="J141" s="201"/>
      <c r="K141" s="201"/>
      <c r="L141" s="11"/>
      <c r="M141" s="66"/>
    </row>
    <row r="142" spans="3:13" x14ac:dyDescent="0.3">
      <c r="C142" s="201"/>
      <c r="D142" s="201"/>
      <c r="E142" s="201"/>
      <c r="F142" s="201"/>
      <c r="G142" s="201"/>
      <c r="H142" s="201"/>
      <c r="I142" s="201"/>
      <c r="J142" s="201"/>
      <c r="K142" s="201"/>
      <c r="L142" s="11"/>
      <c r="M142" s="66"/>
    </row>
    <row r="143" spans="3:13" ht="14.55" customHeight="1" x14ac:dyDescent="0.3">
      <c r="C143" s="201"/>
      <c r="D143" s="201"/>
      <c r="E143" s="201"/>
      <c r="F143" s="201"/>
      <c r="G143" s="201"/>
      <c r="H143" s="201"/>
      <c r="I143" s="201"/>
      <c r="J143" s="201"/>
      <c r="K143" s="201"/>
    </row>
    <row r="144" spans="3:13" ht="6.45" customHeight="1" x14ac:dyDescent="0.3">
      <c r="C144" s="69"/>
      <c r="D144" s="69"/>
      <c r="E144" s="69"/>
      <c r="F144" s="69"/>
      <c r="G144" s="69"/>
      <c r="H144" s="69"/>
      <c r="I144" s="69"/>
      <c r="J144" s="10"/>
    </row>
    <row r="145" spans="3:12" ht="15.6" x14ac:dyDescent="0.3">
      <c r="C145" s="75" t="s">
        <v>97</v>
      </c>
      <c r="D145" s="75"/>
      <c r="E145" s="75"/>
      <c r="F145" s="75"/>
      <c r="G145" s="75"/>
      <c r="H145" s="75"/>
      <c r="I145" s="75"/>
      <c r="J145" s="75"/>
      <c r="K145" s="75"/>
      <c r="L145" s="69"/>
    </row>
    <row r="146" spans="3:12" ht="15.6" x14ac:dyDescent="0.3">
      <c r="C146" s="70" t="s">
        <v>98</v>
      </c>
      <c r="D146" s="79" t="s">
        <v>141</v>
      </c>
      <c r="E146" s="77"/>
      <c r="F146" s="77"/>
      <c r="G146" s="77"/>
      <c r="H146" s="77"/>
      <c r="I146" s="77"/>
      <c r="J146" s="77"/>
      <c r="K146" s="77"/>
      <c r="L146" s="69"/>
    </row>
    <row r="147" spans="3:12" ht="15.6" x14ac:dyDescent="0.3">
      <c r="C147" s="70" t="s">
        <v>99</v>
      </c>
      <c r="D147" s="77">
        <v>32351</v>
      </c>
      <c r="E147" s="77"/>
      <c r="F147" s="77"/>
      <c r="G147" s="77"/>
      <c r="H147" s="77"/>
      <c r="I147" s="77"/>
      <c r="J147" s="77"/>
      <c r="K147" s="77"/>
      <c r="L147" s="69"/>
    </row>
    <row r="148" spans="3:12" ht="15.6" x14ac:dyDescent="0.3">
      <c r="C148" s="70" t="s">
        <v>100</v>
      </c>
      <c r="D148" s="78">
        <v>46077</v>
      </c>
      <c r="E148" s="77"/>
      <c r="F148" s="77"/>
      <c r="G148" s="77"/>
      <c r="H148" s="77"/>
      <c r="I148" s="77"/>
      <c r="J148" s="77"/>
      <c r="K148" s="77"/>
      <c r="L148" s="69"/>
    </row>
    <row r="149" spans="3:12" ht="15.6" x14ac:dyDescent="0.3">
      <c r="C149" s="70" t="s">
        <v>101</v>
      </c>
      <c r="D149" s="76" t="s">
        <v>142</v>
      </c>
      <c r="E149" s="77"/>
      <c r="F149" s="77"/>
      <c r="G149" s="77"/>
      <c r="H149" s="77"/>
      <c r="I149" s="77"/>
      <c r="J149" s="77"/>
      <c r="K149" s="77"/>
    </row>
    <row r="158" spans="3:12" ht="15.6" x14ac:dyDescent="0.3">
      <c r="D158" s="206" t="s">
        <v>143</v>
      </c>
      <c r="E158" s="71"/>
      <c r="I158" s="71" t="s">
        <v>124</v>
      </c>
      <c r="J158" s="71"/>
    </row>
    <row r="159" spans="3:12" ht="15.6" x14ac:dyDescent="0.3">
      <c r="D159" s="202" t="s">
        <v>102</v>
      </c>
      <c r="E159" s="202"/>
      <c r="I159" s="202" t="s">
        <v>103</v>
      </c>
      <c r="J159" s="202"/>
    </row>
    <row r="164" ht="14.55" customHeight="1" x14ac:dyDescent="0.3"/>
    <row r="165" ht="31.2" customHeight="1" x14ac:dyDescent="0.3"/>
  </sheetData>
  <mergeCells count="167">
    <mergeCell ref="E127:F127"/>
    <mergeCell ref="C126:F126"/>
    <mergeCell ref="I44:I45"/>
    <mergeCell ref="H44:H45"/>
    <mergeCell ref="C139:K143"/>
    <mergeCell ref="D136:K137"/>
    <mergeCell ref="D159:E159"/>
    <mergeCell ref="I159:J159"/>
    <mergeCell ref="C132:D132"/>
    <mergeCell ref="C131:D131"/>
    <mergeCell ref="C130:D130"/>
    <mergeCell ref="C129:D129"/>
    <mergeCell ref="C128:D128"/>
    <mergeCell ref="C127:D127"/>
    <mergeCell ref="E132:F132"/>
    <mergeCell ref="E131:F131"/>
    <mergeCell ref="E130:F130"/>
    <mergeCell ref="E129:F129"/>
    <mergeCell ref="E128:F128"/>
    <mergeCell ref="E115:I116"/>
    <mergeCell ref="E117:G117"/>
    <mergeCell ref="E118:G118"/>
    <mergeCell ref="E119:G119"/>
    <mergeCell ref="E120:G120"/>
    <mergeCell ref="B106:F107"/>
    <mergeCell ref="H110:I110"/>
    <mergeCell ref="H109:I109"/>
    <mergeCell ref="H108:I108"/>
    <mergeCell ref="H111:I111"/>
    <mergeCell ref="B103:K103"/>
    <mergeCell ref="B67:K67"/>
    <mergeCell ref="B108:D108"/>
    <mergeCell ref="B111:D111"/>
    <mergeCell ref="B110:D110"/>
    <mergeCell ref="B109:D109"/>
    <mergeCell ref="H106:K107"/>
    <mergeCell ref="B95:H95"/>
    <mergeCell ref="B99:C99"/>
    <mergeCell ref="B98:C98"/>
    <mergeCell ref="B97:C97"/>
    <mergeCell ref="B96:C96"/>
    <mergeCell ref="D99:H99"/>
    <mergeCell ref="D98:H98"/>
    <mergeCell ref="D97:H97"/>
    <mergeCell ref="D96:H96"/>
    <mergeCell ref="B88:D88"/>
    <mergeCell ref="B89:D89"/>
    <mergeCell ref="B87:D87"/>
    <mergeCell ref="B52:C53"/>
    <mergeCell ref="D52:E53"/>
    <mergeCell ref="D44:E45"/>
    <mergeCell ref="D42:E43"/>
    <mergeCell ref="K52:K53"/>
    <mergeCell ref="I56:I57"/>
    <mergeCell ref="B81:K82"/>
    <mergeCell ref="B86:D86"/>
    <mergeCell ref="B85:D85"/>
    <mergeCell ref="B84:D84"/>
    <mergeCell ref="F74:G74"/>
    <mergeCell ref="F75:G75"/>
    <mergeCell ref="F76:G76"/>
    <mergeCell ref="F77:G77"/>
    <mergeCell ref="F78:G78"/>
    <mergeCell ref="D74:E74"/>
    <mergeCell ref="D77:E77"/>
    <mergeCell ref="D76:E76"/>
    <mergeCell ref="D75:E75"/>
    <mergeCell ref="B77:C77"/>
    <mergeCell ref="B76:C76"/>
    <mergeCell ref="B75:C75"/>
    <mergeCell ref="B74:C74"/>
    <mergeCell ref="B73:C73"/>
    <mergeCell ref="B15:E16"/>
    <mergeCell ref="G15:J16"/>
    <mergeCell ref="B7:K11"/>
    <mergeCell ref="J42:J43"/>
    <mergeCell ref="B24:E25"/>
    <mergeCell ref="G24:J25"/>
    <mergeCell ref="G29:J32"/>
    <mergeCell ref="B35:J35"/>
    <mergeCell ref="H38:H41"/>
    <mergeCell ref="F38:G41"/>
    <mergeCell ref="D38:E41"/>
    <mergeCell ref="B38:C41"/>
    <mergeCell ref="J40:J41"/>
    <mergeCell ref="I40:I41"/>
    <mergeCell ref="B42:C43"/>
    <mergeCell ref="I38:K38"/>
    <mergeCell ref="K42:K43"/>
    <mergeCell ref="D73:E73"/>
    <mergeCell ref="F73:G73"/>
    <mergeCell ref="F72:G72"/>
    <mergeCell ref="B72:E72"/>
    <mergeCell ref="D62:E62"/>
    <mergeCell ref="B58:C59"/>
    <mergeCell ref="B60:C61"/>
    <mergeCell ref="B56:C57"/>
    <mergeCell ref="B54:C55"/>
    <mergeCell ref="H56:H57"/>
    <mergeCell ref="D58:E59"/>
    <mergeCell ref="F58:G59"/>
    <mergeCell ref="H58:H59"/>
    <mergeCell ref="D54:E55"/>
    <mergeCell ref="F56:G57"/>
    <mergeCell ref="I60:I61"/>
    <mergeCell ref="J54:J55"/>
    <mergeCell ref="I58:I59"/>
    <mergeCell ref="B44:C45"/>
    <mergeCell ref="J44:J45"/>
    <mergeCell ref="D50:E51"/>
    <mergeCell ref="F50:G51"/>
    <mergeCell ref="D46:E47"/>
    <mergeCell ref="F46:G47"/>
    <mergeCell ref="H46:H47"/>
    <mergeCell ref="D48:E49"/>
    <mergeCell ref="F48:G49"/>
    <mergeCell ref="B46:C47"/>
    <mergeCell ref="B48:C49"/>
    <mergeCell ref="B50:C51"/>
    <mergeCell ref="K44:K45"/>
    <mergeCell ref="F44:G45"/>
    <mergeCell ref="F42:G43"/>
    <mergeCell ref="K40:K41"/>
    <mergeCell ref="H42:H43"/>
    <mergeCell ref="I52:I53"/>
    <mergeCell ref="I54:I55"/>
    <mergeCell ref="K46:K47"/>
    <mergeCell ref="J48:J49"/>
    <mergeCell ref="K48:K49"/>
    <mergeCell ref="J50:J51"/>
    <mergeCell ref="K50:K51"/>
    <mergeCell ref="J46:J47"/>
    <mergeCell ref="H50:H51"/>
    <mergeCell ref="F52:G53"/>
    <mergeCell ref="H52:H53"/>
    <mergeCell ref="F54:G55"/>
    <mergeCell ref="I46:I47"/>
    <mergeCell ref="I48:I49"/>
    <mergeCell ref="I50:I51"/>
    <mergeCell ref="H48:H49"/>
    <mergeCell ref="I42:I43"/>
    <mergeCell ref="J52:J53"/>
    <mergeCell ref="H54:H55"/>
    <mergeCell ref="B2:K2"/>
    <mergeCell ref="B3:K3"/>
    <mergeCell ref="B4:K4"/>
    <mergeCell ref="B5:K5"/>
    <mergeCell ref="B36:K36"/>
    <mergeCell ref="C145:K145"/>
    <mergeCell ref="D149:K149"/>
    <mergeCell ref="D148:K148"/>
    <mergeCell ref="D147:K147"/>
    <mergeCell ref="D146:K146"/>
    <mergeCell ref="B62:C62"/>
    <mergeCell ref="F62:G62"/>
    <mergeCell ref="B63:H65"/>
    <mergeCell ref="K54:K55"/>
    <mergeCell ref="J56:J57"/>
    <mergeCell ref="K56:K57"/>
    <mergeCell ref="J58:J59"/>
    <mergeCell ref="K58:K59"/>
    <mergeCell ref="J60:J61"/>
    <mergeCell ref="K60:K61"/>
    <mergeCell ref="D60:E61"/>
    <mergeCell ref="F60:G61"/>
    <mergeCell ref="H60:H61"/>
    <mergeCell ref="D56:E57"/>
  </mergeCells>
  <phoneticPr fontId="11" type="noConversion"/>
  <hyperlinks>
    <hyperlink ref="D149" r:id="rId1" xr:uid="{B0B3C28C-F387-134D-A92E-52679D00A8CF}"/>
  </hyperlinks>
  <pageMargins left="0.70866141732283472" right="0.70866141732283472" top="0.74803149606299213" bottom="0.74803149606299213" header="0.31496062992125984" footer="0.31496062992125984"/>
  <pageSetup scale="55" fitToWidth="2" fitToHeight="2"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FINAR ASESORES</dc:creator>
  <cp:lastModifiedBy>JUAN MARTINEZ</cp:lastModifiedBy>
  <cp:lastPrinted>2024-03-14T18:50:28Z</cp:lastPrinted>
  <dcterms:created xsi:type="dcterms:W3CDTF">2022-01-20T13:08:32Z</dcterms:created>
  <dcterms:modified xsi:type="dcterms:W3CDTF">2026-02-26T18:58:30Z</dcterms:modified>
</cp:coreProperties>
</file>